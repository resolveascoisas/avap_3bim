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<sst xmlns="http://schemas.openxmlformats.org/spreadsheetml/2006/main" count="184" uniqueCount="63">
  <si>
    <t>6º ao 9º EFAF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</si>
  <si>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</si>
  <si>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</si>
  <si>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</si>
  <si>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</si>
  <si>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</si>
  <si>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</si>
  <si>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</si>
  <si>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</si>
  <si>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</si>
  <si>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3ª EM</t>
  </si>
  <si>
    <t>6° ANO A INTEGRAL 7H T1 ANUAL - 40975463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</si>
  <si>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</si>
  <si>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</si>
  <si>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</si>
  <si>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</si>
  <si>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</si>
  <si>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B INTEGRAL 7H T2 ANUAL - 40945207</t>
  </si>
  <si>
    <t>1ª/2ª EM</t>
  </si>
  <si>
    <t>Turma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</si>
  <si>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</si>
  <si>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</si>
  <si>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</si>
  <si>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</si>
  <si>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</si>
  <si>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6° ANO B INTEGRAL 7H T1 ANUAL - 40975464</t>
  </si>
  <si>
    <t>Acertos em Filosofia/Sociologia (Questões 19, 20)</t>
  </si>
  <si>
    <t>Acertos em Língua Inglesa (Questões 21, 22)</t>
  </si>
  <si>
    <t>1ª SERIE A INTEGRAL 7H T2 ANUAL - 40967655</t>
  </si>
  <si>
    <t>4050 - ADMINISTRAÇÃO - 3ª SERIE A INTEGRAL 7H T2 ANUAL - 40964117</t>
  </si>
  <si>
    <t>6° ANO C INTEGRAL 7H T1 ANUAL - 41004823</t>
  </si>
  <si>
    <t>Alunos (Pres.)</t>
  </si>
  <si>
    <t>Total Matric.</t>
  </si>
  <si>
    <t>Part. (%)</t>
  </si>
  <si>
    <t>Biologia</t>
  </si>
  <si>
    <t>Ciências</t>
  </si>
  <si>
    <t>7° ANO A INTEGRAL 7H T1 ANUAL - 40907798</t>
  </si>
  <si>
    <t>6082 - DESENVOLVIMENTO DE SISTEMAS - 3ª SERIE A INTEGRAL 7H T2 ANUAL - 40964118</t>
  </si>
  <si>
    <t>Filosofia</t>
  </si>
  <si>
    <t>Sociologia</t>
  </si>
  <si>
    <t>7º ANO B INTEGRAL 7H T1 ANUAL - 40907804</t>
  </si>
  <si>
    <t>Física</t>
  </si>
  <si>
    <t>Geografia</t>
  </si>
  <si>
    <t>História</t>
  </si>
  <si>
    <t>Língua Inglesa</t>
  </si>
  <si>
    <t>7º ANO C INTEGRAL 7H T1 ANUAL - 40907805</t>
  </si>
  <si>
    <t>Língua Portuguesa</t>
  </si>
  <si>
    <t>Matemática</t>
  </si>
  <si>
    <t>Química</t>
  </si>
  <si>
    <t>Média Geral</t>
  </si>
  <si>
    <t>7º ANO D INTEGRAL 7H T1 ANUAL - 40907799</t>
  </si>
  <si>
    <t>MÉDIA GLOBAL DA ESCOLA</t>
  </si>
  <si>
    <t>8° ANO A INTEGRAL 7H T1 ANUAL - 40907800</t>
  </si>
  <si>
    <t>8° ANO B INTEGRAL 7H T1 ANUAL - 40907796</t>
  </si>
  <si>
    <t>8° ANO C INTEGRAL 7H T1 ANUAL - 40907802</t>
  </si>
  <si>
    <t>1ª SERIE B INTEGRAL 7H T2 ANUAL - 40967656</t>
  </si>
  <si>
    <t>9º ANO A INTEGRAL 7H T1 ANUAL - 40907803</t>
  </si>
  <si>
    <t>9º ANO B INTEGRAL 7H T1 ANUAL - 40907797</t>
  </si>
  <si>
    <t>4050 - ADMINISTRAÇÃO - 2ª SERIE A INTEGRAL 7H T2 ANUAL - 41139021</t>
  </si>
  <si>
    <t>9º ANO C INTEGRAL 7H T1 ANUAL - 40907795</t>
  </si>
  <si>
    <t>4050 - ADMINISTRAÇÃO - 2ª SERIE B INTEGRAL 7H T2 ANUAL - 41234652</t>
  </si>
  <si>
    <t>6082 - DESENVOLVIMENTO DE SISTEMAS - 2ª SERIE B INTEGRAL 7H T2 ANUAL - 41139022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</si>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</sst>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11</v>
      </c>
      <c r="B2" s="3">
        <v>37.0</v>
      </c>
      <c r="C2" s="4">
        <v>36.0</v>
      </c>
      <c r="D2" s="4">
        <v>95.0</v>
      </c>
      <c r="E2" s="4">
        <v>76.0</v>
      </c>
      <c r="F2" s="4">
        <v>69.0</v>
      </c>
      <c r="G2" s="4">
        <v>45.0</v>
      </c>
      <c r="H2" s="4">
        <v>31.0</v>
      </c>
      <c r="I2" s="4">
        <v>72.0</v>
      </c>
      <c r="J2" s="3">
        <f t="shared" ref="J2:J14" si="1">IF(COUNT(D2:I2)&gt;0, SUM(D2:I2), 0)</f>
        <v>388</v>
      </c>
    </row>
    <row r="3">
      <c r="A3" s="2" t="s">
        <v>25</v>
      </c>
      <c r="B3" s="3">
        <v>38.0</v>
      </c>
      <c r="C3" s="4">
        <v>36.0</v>
      </c>
      <c r="D3" s="4">
        <v>111.0</v>
      </c>
      <c r="E3" s="4">
        <v>87.0</v>
      </c>
      <c r="F3" s="4">
        <v>85.0</v>
      </c>
      <c r="G3" s="4">
        <v>45.0</v>
      </c>
      <c r="H3" s="4">
        <v>36.0</v>
      </c>
      <c r="I3" s="4">
        <v>83.0</v>
      </c>
      <c r="J3" s="3">
        <f t="shared" si="1"/>
        <v>447</v>
      </c>
    </row>
    <row r="4">
      <c r="A4" s="2" t="s">
        <v>30</v>
      </c>
      <c r="B4" s="4">
        <v>37.0</v>
      </c>
      <c r="C4" s="4">
        <v>36.0</v>
      </c>
      <c r="D4" s="4">
        <v>107.0</v>
      </c>
      <c r="E4" s="4">
        <v>84.0</v>
      </c>
      <c r="F4" s="4">
        <v>77.0</v>
      </c>
      <c r="G4" s="4">
        <v>54.0</v>
      </c>
      <c r="H4" s="4">
        <v>45.0</v>
      </c>
      <c r="I4" s="4">
        <v>70.0</v>
      </c>
      <c r="J4" s="3">
        <f t="shared" si="1"/>
        <v>437</v>
      </c>
    </row>
    <row r="5">
      <c r="A5" s="2" t="s">
        <v>36</v>
      </c>
      <c r="B5" s="3">
        <v>34.0</v>
      </c>
      <c r="C5" s="4">
        <v>34.0</v>
      </c>
      <c r="D5" s="4">
        <v>67.0</v>
      </c>
      <c r="E5" s="4">
        <v>52.0</v>
      </c>
      <c r="F5" s="4">
        <v>53.0</v>
      </c>
      <c r="G5" s="4">
        <v>57.0</v>
      </c>
      <c r="H5" s="4">
        <v>52.0</v>
      </c>
      <c r="I5" s="4">
        <v>49.0</v>
      </c>
      <c r="J5" s="3">
        <f t="shared" si="1"/>
        <v>330</v>
      </c>
    </row>
    <row r="6">
      <c r="A6" s="2" t="s">
        <v>40</v>
      </c>
      <c r="B6" s="3">
        <v>31.0</v>
      </c>
      <c r="C6" s="4">
        <v>30.0</v>
      </c>
      <c r="D6" s="4">
        <v>60.0</v>
      </c>
      <c r="E6" s="4">
        <v>41.0</v>
      </c>
      <c r="F6" s="4">
        <v>57.0</v>
      </c>
      <c r="G6" s="4">
        <v>53.0</v>
      </c>
      <c r="H6" s="4">
        <v>44.0</v>
      </c>
      <c r="I6" s="4">
        <v>49.0</v>
      </c>
      <c r="J6" s="3">
        <f t="shared" si="1"/>
        <v>304</v>
      </c>
    </row>
    <row r="7">
      <c r="A7" s="2" t="s">
        <v>45</v>
      </c>
      <c r="B7" s="4">
        <v>32.0</v>
      </c>
      <c r="C7" s="4">
        <v>31.0</v>
      </c>
      <c r="D7" s="4">
        <v>65.0</v>
      </c>
      <c r="E7" s="4">
        <v>35.0</v>
      </c>
      <c r="F7" s="4">
        <v>48.0</v>
      </c>
      <c r="G7" s="4">
        <v>53.0</v>
      </c>
      <c r="H7" s="4">
        <v>58.0</v>
      </c>
      <c r="I7" s="4">
        <v>48.0</v>
      </c>
      <c r="J7" s="3">
        <f t="shared" si="1"/>
        <v>307</v>
      </c>
    </row>
    <row r="8">
      <c r="A8" s="2" t="s">
        <v>50</v>
      </c>
      <c r="B8" s="4">
        <v>33.0</v>
      </c>
      <c r="C8" s="4">
        <v>31.0</v>
      </c>
      <c r="D8" s="4">
        <v>55.0</v>
      </c>
      <c r="E8" s="4">
        <v>39.0</v>
      </c>
      <c r="F8" s="4">
        <v>51.0</v>
      </c>
      <c r="G8" s="4">
        <v>52.0</v>
      </c>
      <c r="H8" s="4">
        <v>42.0</v>
      </c>
      <c r="I8" s="4">
        <v>45.0</v>
      </c>
      <c r="J8" s="3">
        <f t="shared" si="1"/>
        <v>284</v>
      </c>
    </row>
    <row r="9">
      <c r="A9" s="2" t="s">
        <v>52</v>
      </c>
      <c r="B9" s="4">
        <v>34.0</v>
      </c>
      <c r="C9" s="4">
        <v>32.0</v>
      </c>
      <c r="D9" s="4">
        <v>98.0</v>
      </c>
      <c r="E9" s="4">
        <v>40.0</v>
      </c>
      <c r="F9" s="4">
        <v>62.0</v>
      </c>
      <c r="G9" s="4">
        <v>62.0</v>
      </c>
      <c r="H9" s="4">
        <v>52.0</v>
      </c>
      <c r="I9" s="4">
        <v>33.0</v>
      </c>
      <c r="J9" s="3">
        <f t="shared" si="1"/>
        <v>347</v>
      </c>
    </row>
    <row r="10">
      <c r="A10" s="2" t="s">
        <v>53</v>
      </c>
      <c r="B10" s="3">
        <v>36.0</v>
      </c>
      <c r="C10" s="4">
        <v>34.0</v>
      </c>
      <c r="D10" s="4">
        <v>83.0</v>
      </c>
      <c r="E10" s="4">
        <v>54.0</v>
      </c>
      <c r="F10" s="4">
        <v>52.0</v>
      </c>
      <c r="G10" s="4">
        <v>65.0</v>
      </c>
      <c r="H10" s="4">
        <v>53.0</v>
      </c>
      <c r="I10" s="4">
        <v>33.0</v>
      </c>
      <c r="J10" s="3">
        <f t="shared" si="1"/>
        <v>340</v>
      </c>
    </row>
    <row r="11">
      <c r="A11" s="2" t="s">
        <v>54</v>
      </c>
      <c r="B11" s="3">
        <v>36.0</v>
      </c>
      <c r="C11" s="4">
        <v>35.0</v>
      </c>
      <c r="D11" s="4">
        <v>101.0</v>
      </c>
      <c r="E11" s="4">
        <v>54.0</v>
      </c>
      <c r="F11" s="4">
        <v>73.0</v>
      </c>
      <c r="G11" s="4">
        <v>74.0</v>
      </c>
      <c r="H11" s="4">
        <v>68.0</v>
      </c>
      <c r="I11" s="4">
        <v>48.0</v>
      </c>
      <c r="J11" s="3">
        <f t="shared" si="1"/>
        <v>418</v>
      </c>
    </row>
    <row r="12">
      <c r="A12" s="2" t="s">
        <v>56</v>
      </c>
      <c r="B12" s="3">
        <v>35.0</v>
      </c>
      <c r="C12" s="4">
        <v>33.0</v>
      </c>
      <c r="D12" s="4">
        <v>72.0</v>
      </c>
      <c r="E12" s="4">
        <v>36.0</v>
      </c>
      <c r="F12" s="4">
        <v>52.0</v>
      </c>
      <c r="G12" s="4">
        <v>55.0</v>
      </c>
      <c r="H12" s="4">
        <v>18.0</v>
      </c>
      <c r="I12" s="4">
        <v>47.0</v>
      </c>
      <c r="J12" s="3">
        <f t="shared" si="1"/>
        <v>280</v>
      </c>
    </row>
    <row r="13">
      <c r="A13" s="2" t="s">
        <v>57</v>
      </c>
      <c r="B13" s="3">
        <v>35.0</v>
      </c>
      <c r="C13" s="4">
        <v>32.0</v>
      </c>
      <c r="D13" s="4">
        <v>77.0</v>
      </c>
      <c r="E13" s="4">
        <v>39.0</v>
      </c>
      <c r="F13" s="4">
        <v>41.0</v>
      </c>
      <c r="G13" s="4">
        <v>59.0</v>
      </c>
      <c r="H13" s="4">
        <v>18.0</v>
      </c>
      <c r="I13" s="4">
        <v>53.0</v>
      </c>
      <c r="J13" s="3">
        <f t="shared" si="1"/>
        <v>287</v>
      </c>
    </row>
    <row r="14">
      <c r="A14" s="2" t="s">
        <v>59</v>
      </c>
      <c r="B14" s="3">
        <v>35.0</v>
      </c>
      <c r="C14" s="4">
        <v>31.0</v>
      </c>
      <c r="D14" s="4">
        <v>57.0</v>
      </c>
      <c r="E14" s="4">
        <v>34.0</v>
      </c>
      <c r="F14" s="4">
        <v>30.0</v>
      </c>
      <c r="G14" s="4">
        <v>53.0</v>
      </c>
      <c r="H14" s="4">
        <v>22.0</v>
      </c>
      <c r="I14" s="4">
        <v>49.0</v>
      </c>
      <c r="J14" s="3">
        <f t="shared" si="1"/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26</v>
      </c>
      <c r="L1" s="1" t="s">
        <v>27</v>
      </c>
      <c r="M1" s="1" t="s">
        <v>9</v>
      </c>
    </row>
    <row r="2">
      <c r="A2" s="2" t="s">
        <v>28</v>
      </c>
      <c r="B2" s="4">
        <v>33.0</v>
      </c>
      <c r="C2" s="4">
        <v>31.0</v>
      </c>
      <c r="D2" s="4">
        <v>49.0</v>
      </c>
      <c r="E2" s="4">
        <v>30.0</v>
      </c>
      <c r="F2" s="4">
        <v>13.0</v>
      </c>
      <c r="G2" s="4">
        <v>9.0</v>
      </c>
      <c r="H2" s="4">
        <v>21.0</v>
      </c>
      <c r="I2" s="4">
        <v>8.0</v>
      </c>
      <c r="J2" s="4">
        <v>28.0</v>
      </c>
      <c r="K2" s="4">
        <v>16.0</v>
      </c>
      <c r="L2" s="4">
        <v>15.0</v>
      </c>
      <c r="M2" s="3">
        <f t="shared" ref="M2:M6" si="1">IF(COUNT(D2:L2)&gt;0, SUM(D2:L2), 0)</f>
        <v>189</v>
      </c>
    </row>
    <row r="3">
      <c r="A3" s="2" t="s">
        <v>55</v>
      </c>
      <c r="B3" s="4">
        <v>33.0</v>
      </c>
      <c r="C3" s="4">
        <v>31.0</v>
      </c>
      <c r="D3" s="4">
        <v>80.0</v>
      </c>
      <c r="E3" s="4">
        <v>54.0</v>
      </c>
      <c r="F3" s="4">
        <v>18.0</v>
      </c>
      <c r="G3" s="4">
        <v>21.0</v>
      </c>
      <c r="H3" s="4">
        <v>41.0</v>
      </c>
      <c r="I3" s="4">
        <v>17.0</v>
      </c>
      <c r="J3" s="4">
        <v>22.0</v>
      </c>
      <c r="K3" s="4">
        <v>26.0</v>
      </c>
      <c r="L3" s="4">
        <v>19.0</v>
      </c>
      <c r="M3" s="3">
        <f t="shared" si="1"/>
        <v>298</v>
      </c>
    </row>
    <row r="4">
      <c r="A4" s="2" t="s">
        <v>58</v>
      </c>
      <c r="B4" s="4">
        <v>15.0</v>
      </c>
      <c r="C4" s="4">
        <v>14.0</v>
      </c>
      <c r="D4" s="4">
        <v>31.0</v>
      </c>
      <c r="E4" s="4">
        <v>48.0</v>
      </c>
      <c r="F4" s="4">
        <v>12.0</v>
      </c>
      <c r="G4" s="4">
        <v>16.0</v>
      </c>
      <c r="H4" s="4">
        <v>17.0</v>
      </c>
      <c r="I4" s="4">
        <v>25.0</v>
      </c>
      <c r="J4" s="4">
        <v>10.0</v>
      </c>
      <c r="K4" s="4">
        <v>6.0</v>
      </c>
      <c r="L4" s="4">
        <v>17.0</v>
      </c>
      <c r="M4" s="3">
        <f t="shared" si="1"/>
        <v>182</v>
      </c>
    </row>
    <row r="5">
      <c r="A5" s="2" t="s">
        <v>60</v>
      </c>
      <c r="B5" s="4">
        <v>15.0</v>
      </c>
      <c r="C5" s="4">
        <v>15.0</v>
      </c>
      <c r="D5" s="4">
        <v>41.0</v>
      </c>
      <c r="E5" s="4">
        <v>11.0</v>
      </c>
      <c r="F5" s="4">
        <v>6.0</v>
      </c>
      <c r="G5" s="4">
        <v>25.0</v>
      </c>
      <c r="H5" s="4">
        <v>28.0</v>
      </c>
      <c r="I5" s="4">
        <v>26.0</v>
      </c>
      <c r="J5" s="4">
        <v>2.0</v>
      </c>
      <c r="K5" s="4">
        <v>25.0</v>
      </c>
      <c r="L5" s="4">
        <v>20.0</v>
      </c>
      <c r="M5" s="3">
        <f t="shared" si="1"/>
        <v>184</v>
      </c>
    </row>
    <row r="6">
      <c r="A6" s="2" t="s">
        <v>61</v>
      </c>
      <c r="B6" s="4">
        <v>22.0</v>
      </c>
      <c r="C6" s="4">
        <v>20.0</v>
      </c>
      <c r="D6" s="4">
        <v>65.0</v>
      </c>
      <c r="E6" s="4">
        <v>38.0</v>
      </c>
      <c r="F6" s="4">
        <v>20.0</v>
      </c>
      <c r="G6" s="4">
        <v>25.0</v>
      </c>
      <c r="H6" s="4">
        <v>32.0</v>
      </c>
      <c r="I6" s="4">
        <v>36.0</v>
      </c>
      <c r="J6" s="4">
        <v>29.0</v>
      </c>
      <c r="K6" s="4">
        <v>25.0</v>
      </c>
      <c r="L6" s="4">
        <v>22.0</v>
      </c>
      <c r="M6" s="3">
        <f t="shared" si="1"/>
        <v>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10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9</v>
      </c>
    </row>
    <row r="2">
      <c r="A2" s="2" t="s">
        <v>17</v>
      </c>
      <c r="B2" s="4">
        <v>18.0</v>
      </c>
      <c r="C2" s="4">
        <v>18.0</v>
      </c>
      <c r="D2" s="4">
        <v>57.0</v>
      </c>
      <c r="E2" s="4">
        <v>28.0</v>
      </c>
      <c r="F2" s="4">
        <v>19.0</v>
      </c>
      <c r="G2" s="4">
        <v>28.0</v>
      </c>
      <c r="H2" s="4">
        <v>34.0</v>
      </c>
      <c r="I2" s="3">
        <f t="shared" ref="I2:I4" si="1">IF(COUNT(D2:H2)&gt;0, SUM(D2:H2), 0)</f>
        <v>166</v>
      </c>
    </row>
    <row r="3">
      <c r="A3" s="2" t="s">
        <v>29</v>
      </c>
      <c r="B3" s="3">
        <v>20.0</v>
      </c>
      <c r="C3" s="4">
        <v>19.0</v>
      </c>
      <c r="D3" s="4">
        <v>58.0</v>
      </c>
      <c r="E3" s="4">
        <v>27.0</v>
      </c>
      <c r="F3" s="4">
        <v>28.0</v>
      </c>
      <c r="G3" s="4">
        <v>53.0</v>
      </c>
      <c r="H3" s="4">
        <v>43.0</v>
      </c>
      <c r="I3" s="3">
        <f t="shared" si="1"/>
        <v>209</v>
      </c>
    </row>
    <row r="4">
      <c r="A4" s="2" t="s">
        <v>37</v>
      </c>
      <c r="B4" s="4">
        <v>16.0</v>
      </c>
      <c r="C4" s="4">
        <v>16.0</v>
      </c>
      <c r="D4" s="4">
        <v>39.0</v>
      </c>
      <c r="E4" s="4">
        <v>17.0</v>
      </c>
      <c r="F4" s="4">
        <v>12.0</v>
      </c>
      <c r="G4" s="4">
        <v>23.0</v>
      </c>
      <c r="H4" s="4">
        <v>18.0</v>
      </c>
      <c r="I4" s="3">
        <f t="shared" si="1"/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5" t="s">
        <v>19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38</v>
      </c>
      <c r="H1" s="5" t="s">
        <v>39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46</v>
      </c>
      <c r="N1" s="5" t="s">
        <v>47</v>
      </c>
      <c r="O1" s="5" t="s">
        <v>48</v>
      </c>
      <c r="P1" s="5" t="s">
        <v>49</v>
      </c>
    </row>
    <row r="2" ht="27.75" customHeight="1">
      <c r="A2" s="6" t="s">
        <v>51</v>
      </c>
      <c r="B2" s="7">
        <f t="shared" ref="B2:C2" si="1">IFERROR(SUM(B3:B23), 0)</f>
        <v>595</v>
      </c>
      <c r="C2" s="7">
        <f t="shared" si="1"/>
        <v>625</v>
      </c>
      <c r="D2" s="8">
        <f t="shared" ref="D2:D23" si="3">IF(AND(ISNUMBER(C2), C2&gt;0, ISNUMBER(B2)), B2/C2, 0)</f>
        <v>0.952</v>
      </c>
      <c r="E2" s="8">
        <f t="shared" ref="E2:P2" si="2">IFERROR(AVERAGEIF(E3:E23, "&gt;0"), 0)</f>
        <v>0.6680952381</v>
      </c>
      <c r="F2" s="8">
        <f t="shared" si="2"/>
        <v>0.564458424</v>
      </c>
      <c r="G2" s="8">
        <f t="shared" si="2"/>
        <v>0.3387096774</v>
      </c>
      <c r="H2" s="8">
        <f t="shared" si="2"/>
        <v>0.5575396825</v>
      </c>
      <c r="I2" s="8">
        <f t="shared" si="2"/>
        <v>0.3060476713</v>
      </c>
      <c r="J2" s="8">
        <f t="shared" si="2"/>
        <v>0.4856425483</v>
      </c>
      <c r="K2" s="8">
        <f t="shared" si="2"/>
        <v>0.4730548319</v>
      </c>
      <c r="L2" s="8">
        <f t="shared" si="2"/>
        <v>0.5320760174</v>
      </c>
      <c r="M2" s="8">
        <f t="shared" si="2"/>
        <v>0.6028156786</v>
      </c>
      <c r="N2" s="8">
        <f t="shared" si="2"/>
        <v>0.3801747711</v>
      </c>
      <c r="O2" s="8">
        <f t="shared" si="2"/>
        <v>0.5027265745</v>
      </c>
      <c r="P2" s="8">
        <f t="shared" si="2"/>
        <v>0.4936946732</v>
      </c>
    </row>
    <row r="3" ht="21.75" customHeight="1">
      <c r="A3" s="9" t="s">
        <v>11</v>
      </c>
      <c r="B3" s="10">
        <f>'6º ao 9º EFAF'!C2</f>
        <v>36</v>
      </c>
      <c r="C3" s="10">
        <f>'6º ao 9º EFAF'!B2</f>
        <v>37</v>
      </c>
      <c r="D3" s="11">
        <f t="shared" si="3"/>
        <v>0.972972973</v>
      </c>
      <c r="E3" s="12" t="s">
        <v>62</v>
      </c>
      <c r="F3" s="13">
        <f>IF(AND(ISNUMBER(B3), B3&gt;0, ISNUMBER('6º ao 9º EFAF'!G2)), ('6º ao 9º EFAF'!G2/(B3*3)), 0)</f>
        <v>0.4166666667</v>
      </c>
      <c r="G3" s="12" t="s">
        <v>62</v>
      </c>
      <c r="H3" s="12" t="s">
        <v>62</v>
      </c>
      <c r="I3" s="12" t="s">
        <v>62</v>
      </c>
      <c r="J3" s="13">
        <f>IF(AND(ISNUMBER(B3), B3&gt;0, ISNUMBER('6º ao 9º EFAF'!I2)), ('6º ao 9º EFAF'!I2/(B3*3)), 0)</f>
        <v>0.6666666667</v>
      </c>
      <c r="K3" s="13">
        <f>IF(AND(ISNUMBER(B3), B3&gt;0, ISNUMBER('6º ao 9º EFAF'!H2)), ('6º ao 9º EFAF'!H2/(B3*3)), 0)</f>
        <v>0.287037037</v>
      </c>
      <c r="L3" s="13">
        <f>IF(AND(ISNUMBER(B3), B3&gt;0, ISNUMBER('6º ao 9º EFAF'!F2)), ('6º ao 9º EFAF'!F2/(B3*3)), 0)</f>
        <v>0.6388888889</v>
      </c>
      <c r="M3" s="13">
        <f>IF(AND(ISNUMBER(B3), B3&gt;0, ISNUMBER('6º ao 9º EFAF'!D2)), ('6º ao 9º EFAF'!D2/(B3*4)), 0)</f>
        <v>0.6597222222</v>
      </c>
      <c r="N3" s="13">
        <f>IF(AND(ISNUMBER(B3), B3&gt;0, ISNUMBER('6º ao 9º EFAF'!E2)), ('6º ao 9º EFAF'!E2/(B3*4)), 0)</f>
        <v>0.5277777778</v>
      </c>
      <c r="O3" s="12" t="s">
        <v>62</v>
      </c>
      <c r="P3" s="14">
        <f t="shared" ref="P3:P23" si="4">IFERROR(AVERAGEIF(E3:O3, "&gt;0"), 0)</f>
        <v>0.5327932099</v>
      </c>
    </row>
    <row r="4" ht="21.75" customHeight="1">
      <c r="A4" s="9" t="s">
        <v>25</v>
      </c>
      <c r="B4" s="10">
        <f>'6º ao 9º EFAF'!C3</f>
        <v>36</v>
      </c>
      <c r="C4" s="10">
        <f>'6º ao 9º EFAF'!B3</f>
        <v>38</v>
      </c>
      <c r="D4" s="11">
        <f t="shared" si="3"/>
        <v>0.9473684211</v>
      </c>
      <c r="E4" s="12" t="s">
        <v>62</v>
      </c>
      <c r="F4" s="13">
        <f>IF(AND(ISNUMBER(B4), B4&gt;0, ISNUMBER('6º ao 9º EFAF'!G3)), ('6º ao 9º EFAF'!G3/(B4*3)), 0)</f>
        <v>0.4166666667</v>
      </c>
      <c r="G4" s="12" t="s">
        <v>62</v>
      </c>
      <c r="H4" s="12" t="s">
        <v>62</v>
      </c>
      <c r="I4" s="12" t="s">
        <v>62</v>
      </c>
      <c r="J4" s="13">
        <f>IF(AND(ISNUMBER(B4), B4&gt;0, ISNUMBER('6º ao 9º EFAF'!I3)), ('6º ao 9º EFAF'!I3/(B4*3)), 0)</f>
        <v>0.7685185185</v>
      </c>
      <c r="K4" s="13">
        <f>IF(AND(ISNUMBER(B4), B4&gt;0, ISNUMBER('6º ao 9º EFAF'!H3)), ('6º ao 9º EFAF'!H3/(B4*3)), 0)</f>
        <v>0.3333333333</v>
      </c>
      <c r="L4" s="13">
        <f>IF(AND(ISNUMBER(B4), B4&gt;0, ISNUMBER('6º ao 9º EFAF'!F3)), ('6º ao 9º EFAF'!F3/(B4*3)), 0)</f>
        <v>0.787037037</v>
      </c>
      <c r="M4" s="13">
        <f>IF(AND(ISNUMBER(B4), B4&gt;0, ISNUMBER('6º ao 9º EFAF'!D3)), ('6º ao 9º EFAF'!D3/(B4*4)), 0)</f>
        <v>0.7708333333</v>
      </c>
      <c r="N4" s="13">
        <f>IF(AND(ISNUMBER(B4), B4&gt;0, ISNUMBER('6º ao 9º EFAF'!E3)), ('6º ao 9º EFAF'!E3/(B4*4)), 0)</f>
        <v>0.6041666667</v>
      </c>
      <c r="O4" s="12" t="s">
        <v>62</v>
      </c>
      <c r="P4" s="14">
        <f t="shared" si="4"/>
        <v>0.6134259259</v>
      </c>
    </row>
    <row r="5" ht="21.75" customHeight="1">
      <c r="A5" s="9" t="s">
        <v>30</v>
      </c>
      <c r="B5" s="10">
        <f>'6º ao 9º EFAF'!C4</f>
        <v>36</v>
      </c>
      <c r="C5" s="10">
        <f>'6º ao 9º EFAF'!B4</f>
        <v>37</v>
      </c>
      <c r="D5" s="11">
        <f t="shared" si="3"/>
        <v>0.972972973</v>
      </c>
      <c r="E5" s="12" t="s">
        <v>62</v>
      </c>
      <c r="F5" s="13">
        <f>IF(AND(ISNUMBER(B5), B5&gt;0, ISNUMBER('6º ao 9º EFAF'!G4)), ('6º ao 9º EFAF'!G4/(B5*3)), 0)</f>
        <v>0.5</v>
      </c>
      <c r="G5" s="12" t="s">
        <v>62</v>
      </c>
      <c r="H5" s="12" t="s">
        <v>62</v>
      </c>
      <c r="I5" s="12" t="s">
        <v>62</v>
      </c>
      <c r="J5" s="13">
        <f>IF(AND(ISNUMBER(B5), B5&gt;0, ISNUMBER('6º ao 9º EFAF'!I4)), ('6º ao 9º EFAF'!I4/(B5*3)), 0)</f>
        <v>0.6481481481</v>
      </c>
      <c r="K5" s="13">
        <f>IF(AND(ISNUMBER(B5), B5&gt;0, ISNUMBER('6º ao 9º EFAF'!H4)), ('6º ao 9º EFAF'!H4/(B5*3)), 0)</f>
        <v>0.4166666667</v>
      </c>
      <c r="L5" s="13">
        <f>IF(AND(ISNUMBER(B5), B5&gt;0, ISNUMBER('6º ao 9º EFAF'!F4)), ('6º ao 9º EFAF'!F4/(B5*3)), 0)</f>
        <v>0.712962963</v>
      </c>
      <c r="M5" s="13">
        <f>IF(AND(ISNUMBER(B5), B5&gt;0, ISNUMBER('6º ao 9º EFAF'!D4)), ('6º ao 9º EFAF'!D4/(B5*4)), 0)</f>
        <v>0.7430555556</v>
      </c>
      <c r="N5" s="13">
        <f>IF(AND(ISNUMBER(B5), B5&gt;0, ISNUMBER('6º ao 9º EFAF'!E4)), ('6º ao 9º EFAF'!E4/(B5*4)), 0)</f>
        <v>0.5833333333</v>
      </c>
      <c r="O5" s="12" t="s">
        <v>62</v>
      </c>
      <c r="P5" s="14">
        <f t="shared" si="4"/>
        <v>0.6006944444</v>
      </c>
    </row>
    <row r="6" ht="21.75" customHeight="1">
      <c r="A6" s="9" t="s">
        <v>36</v>
      </c>
      <c r="B6" s="10">
        <f>'6º ao 9º EFAF'!C5</f>
        <v>34</v>
      </c>
      <c r="C6" s="10">
        <f>'6º ao 9º EFAF'!B5</f>
        <v>34</v>
      </c>
      <c r="D6" s="11">
        <f t="shared" si="3"/>
        <v>1</v>
      </c>
      <c r="E6" s="12" t="s">
        <v>62</v>
      </c>
      <c r="F6" s="13">
        <f>IF(AND(ISNUMBER(B6), B6&gt;0, ISNUMBER('6º ao 9º EFAF'!G5)), ('6º ao 9º EFAF'!G5/(B6*3)), 0)</f>
        <v>0.5588235294</v>
      </c>
      <c r="G6" s="12" t="s">
        <v>62</v>
      </c>
      <c r="H6" s="12" t="s">
        <v>62</v>
      </c>
      <c r="I6" s="12" t="s">
        <v>62</v>
      </c>
      <c r="J6" s="13">
        <f>IF(AND(ISNUMBER(B6), B6&gt;0, ISNUMBER('6º ao 9º EFAF'!I5)), ('6º ao 9º EFAF'!I5/(B6*3)), 0)</f>
        <v>0.4803921569</v>
      </c>
      <c r="K6" s="13">
        <f>IF(AND(ISNUMBER(B6), B6&gt;0, ISNUMBER('6º ao 9º EFAF'!H5)), ('6º ao 9º EFAF'!H5/(B6*3)), 0)</f>
        <v>0.5098039216</v>
      </c>
      <c r="L6" s="13">
        <f>IF(AND(ISNUMBER(B6), B6&gt;0, ISNUMBER('6º ao 9º EFAF'!F5)), ('6º ao 9º EFAF'!F5/(B6*3)), 0)</f>
        <v>0.5196078431</v>
      </c>
      <c r="M6" s="13">
        <f>IF(AND(ISNUMBER(B6), B6&gt;0, ISNUMBER('6º ao 9º EFAF'!D5)), ('6º ao 9º EFAF'!D5/(B6*4)), 0)</f>
        <v>0.4926470588</v>
      </c>
      <c r="N6" s="13">
        <f>IF(AND(ISNUMBER(B6), B6&gt;0, ISNUMBER('6º ao 9º EFAF'!E5)), ('6º ao 9º EFAF'!E5/(B6*4)), 0)</f>
        <v>0.3823529412</v>
      </c>
      <c r="O6" s="12" t="s">
        <v>62</v>
      </c>
      <c r="P6" s="14">
        <f t="shared" si="4"/>
        <v>0.4906045752</v>
      </c>
    </row>
    <row r="7" ht="21.75" customHeight="1">
      <c r="A7" s="9" t="s">
        <v>40</v>
      </c>
      <c r="B7" s="10">
        <f>'6º ao 9º EFAF'!C6</f>
        <v>30</v>
      </c>
      <c r="C7" s="10">
        <f>'6º ao 9º EFAF'!B6</f>
        <v>31</v>
      </c>
      <c r="D7" s="11">
        <f t="shared" si="3"/>
        <v>0.9677419355</v>
      </c>
      <c r="E7" s="12" t="s">
        <v>62</v>
      </c>
      <c r="F7" s="13">
        <f>IF(AND(ISNUMBER(B7), B7&gt;0, ISNUMBER('6º ao 9º EFAF'!G6)), ('6º ao 9º EFAF'!G6/(B7*3)), 0)</f>
        <v>0.5888888889</v>
      </c>
      <c r="G7" s="12" t="s">
        <v>62</v>
      </c>
      <c r="H7" s="12" t="s">
        <v>62</v>
      </c>
      <c r="I7" s="12" t="s">
        <v>62</v>
      </c>
      <c r="J7" s="13">
        <f>IF(AND(ISNUMBER(B7), B7&gt;0, ISNUMBER('6º ao 9º EFAF'!I6)), ('6º ao 9º EFAF'!I6/(B7*3)), 0)</f>
        <v>0.5444444444</v>
      </c>
      <c r="K7" s="13">
        <f>IF(AND(ISNUMBER(B7), B7&gt;0, ISNUMBER('6º ao 9º EFAF'!H6)), ('6º ao 9º EFAF'!H6/(B7*3)), 0)</f>
        <v>0.4888888889</v>
      </c>
      <c r="L7" s="13">
        <f>IF(AND(ISNUMBER(B7), B7&gt;0, ISNUMBER('6º ao 9º EFAF'!F6)), ('6º ao 9º EFAF'!F6/(B7*3)), 0)</f>
        <v>0.6333333333</v>
      </c>
      <c r="M7" s="13">
        <f>IF(AND(ISNUMBER(B7), B7&gt;0, ISNUMBER('6º ao 9º EFAF'!D6)), ('6º ao 9º EFAF'!D6/(B7*4)), 0)</f>
        <v>0.5</v>
      </c>
      <c r="N7" s="13">
        <f>IF(AND(ISNUMBER(B7), B7&gt;0, ISNUMBER('6º ao 9º EFAF'!E6)), ('6º ao 9º EFAF'!E6/(B7*4)), 0)</f>
        <v>0.3416666667</v>
      </c>
      <c r="O7" s="12" t="s">
        <v>62</v>
      </c>
      <c r="P7" s="14">
        <f t="shared" si="4"/>
        <v>0.5162037037</v>
      </c>
    </row>
    <row r="8" ht="21.75" customHeight="1">
      <c r="A8" s="9" t="s">
        <v>45</v>
      </c>
      <c r="B8" s="10">
        <f>'6º ao 9º EFAF'!C7</f>
        <v>31</v>
      </c>
      <c r="C8" s="10">
        <f>'6º ao 9º EFAF'!B7</f>
        <v>32</v>
      </c>
      <c r="D8" s="11">
        <f t="shared" si="3"/>
        <v>0.96875</v>
      </c>
      <c r="E8" s="12" t="s">
        <v>62</v>
      </c>
      <c r="F8" s="13">
        <f>IF(AND(ISNUMBER(B8), B8&gt;0, ISNUMBER('6º ao 9º EFAF'!G7)), ('6º ao 9º EFAF'!G7/(B8*3)), 0)</f>
        <v>0.5698924731</v>
      </c>
      <c r="G8" s="12" t="s">
        <v>62</v>
      </c>
      <c r="H8" s="12" t="s">
        <v>62</v>
      </c>
      <c r="I8" s="12" t="s">
        <v>62</v>
      </c>
      <c r="J8" s="13">
        <f>IF(AND(ISNUMBER(B8), B8&gt;0, ISNUMBER('6º ao 9º EFAF'!I7)), ('6º ao 9º EFAF'!I7/(B8*3)), 0)</f>
        <v>0.5161290323</v>
      </c>
      <c r="K8" s="13">
        <f>IF(AND(ISNUMBER(B8), B8&gt;0, ISNUMBER('6º ao 9º EFAF'!H7)), ('6º ao 9º EFAF'!H7/(B8*3)), 0)</f>
        <v>0.623655914</v>
      </c>
      <c r="L8" s="13">
        <f>IF(AND(ISNUMBER(B8), B8&gt;0, ISNUMBER('6º ao 9º EFAF'!F7)), ('6º ao 9º EFAF'!F7/(B8*3)), 0)</f>
        <v>0.5161290323</v>
      </c>
      <c r="M8" s="13">
        <f>IF(AND(ISNUMBER(B8), B8&gt;0, ISNUMBER('6º ao 9º EFAF'!D7)), ('6º ao 9º EFAF'!D7/(B8*4)), 0)</f>
        <v>0.5241935484</v>
      </c>
      <c r="N8" s="13">
        <f>IF(AND(ISNUMBER(B8), B8&gt;0, ISNUMBER('6º ao 9º EFAF'!E7)), ('6º ao 9º EFAF'!E7/(B8*4)), 0)</f>
        <v>0.2822580645</v>
      </c>
      <c r="O8" s="12" t="s">
        <v>62</v>
      </c>
      <c r="P8" s="14">
        <f t="shared" si="4"/>
        <v>0.5053763441</v>
      </c>
    </row>
    <row r="9" ht="21.75" customHeight="1">
      <c r="A9" s="9" t="s">
        <v>50</v>
      </c>
      <c r="B9" s="10">
        <f>'6º ao 9º EFAF'!C8</f>
        <v>31</v>
      </c>
      <c r="C9" s="10">
        <f>'6º ao 9º EFAF'!B8</f>
        <v>33</v>
      </c>
      <c r="D9" s="11">
        <f t="shared" si="3"/>
        <v>0.9393939394</v>
      </c>
      <c r="E9" s="12" t="s">
        <v>62</v>
      </c>
      <c r="F9" s="13">
        <f>IF(AND(ISNUMBER(B9), B9&gt;0, ISNUMBER('6º ao 9º EFAF'!G8)), ('6º ao 9º EFAF'!G8/(B9*3)), 0)</f>
        <v>0.5591397849</v>
      </c>
      <c r="G9" s="12" t="s">
        <v>62</v>
      </c>
      <c r="H9" s="12" t="s">
        <v>62</v>
      </c>
      <c r="I9" s="12" t="s">
        <v>62</v>
      </c>
      <c r="J9" s="13">
        <f>IF(AND(ISNUMBER(B9), B9&gt;0, ISNUMBER('6º ao 9º EFAF'!I8)), ('6º ao 9º EFAF'!I8/(B9*3)), 0)</f>
        <v>0.4838709677</v>
      </c>
      <c r="K9" s="13">
        <f>IF(AND(ISNUMBER(B9), B9&gt;0, ISNUMBER('6º ao 9º EFAF'!H8)), ('6º ao 9º EFAF'!H8/(B9*3)), 0)</f>
        <v>0.4516129032</v>
      </c>
      <c r="L9" s="13">
        <f>IF(AND(ISNUMBER(B9), B9&gt;0, ISNUMBER('6º ao 9º EFAF'!F8)), ('6º ao 9º EFAF'!F8/(B9*3)), 0)</f>
        <v>0.5483870968</v>
      </c>
      <c r="M9" s="13">
        <f>IF(AND(ISNUMBER(B9), B9&gt;0, ISNUMBER('6º ao 9º EFAF'!D8)), ('6º ao 9º EFAF'!D8/(B9*4)), 0)</f>
        <v>0.4435483871</v>
      </c>
      <c r="N9" s="13">
        <f>IF(AND(ISNUMBER(B9), B9&gt;0, ISNUMBER('6º ao 9º EFAF'!E8)), ('6º ao 9º EFAF'!E8/(B9*4)), 0)</f>
        <v>0.314516129</v>
      </c>
      <c r="O9" s="12" t="s">
        <v>62</v>
      </c>
      <c r="P9" s="14">
        <f t="shared" si="4"/>
        <v>0.4668458781</v>
      </c>
    </row>
    <row r="10" ht="21.75" customHeight="1">
      <c r="A10" s="9" t="s">
        <v>52</v>
      </c>
      <c r="B10" s="10">
        <f>'6º ao 9º EFAF'!C9</f>
        <v>32</v>
      </c>
      <c r="C10" s="10">
        <f>'6º ao 9º EFAF'!B9</f>
        <v>34</v>
      </c>
      <c r="D10" s="11">
        <f t="shared" si="3"/>
        <v>0.9411764706</v>
      </c>
      <c r="E10" s="12" t="s">
        <v>62</v>
      </c>
      <c r="F10" s="13">
        <f>IF(AND(ISNUMBER(B10), B10&gt;0, ISNUMBER('6º ao 9º EFAF'!G9)), ('6º ao 9º EFAF'!G9/(B10*3)), 0)</f>
        <v>0.6458333333</v>
      </c>
      <c r="G10" s="12" t="s">
        <v>62</v>
      </c>
      <c r="H10" s="12" t="s">
        <v>62</v>
      </c>
      <c r="I10" s="12" t="s">
        <v>62</v>
      </c>
      <c r="J10" s="13">
        <f>IF(AND(ISNUMBER(B10), B10&gt;0, ISNUMBER('6º ao 9º EFAF'!I9)), ('6º ao 9º EFAF'!I9/(B10*3)), 0)</f>
        <v>0.34375</v>
      </c>
      <c r="K10" s="13">
        <f>IF(AND(ISNUMBER(B10), B10&gt;0, ISNUMBER('6º ao 9º EFAF'!H9)), ('6º ao 9º EFAF'!H9/(B10*3)), 0)</f>
        <v>0.5416666667</v>
      </c>
      <c r="L10" s="13">
        <f>IF(AND(ISNUMBER(B10), B10&gt;0, ISNUMBER('6º ao 9º EFAF'!F9)), ('6º ao 9º EFAF'!F9/(B10*3)), 0)</f>
        <v>0.6458333333</v>
      </c>
      <c r="M10" s="13">
        <f>IF(AND(ISNUMBER(B10), B10&gt;0, ISNUMBER('6º ao 9º EFAF'!D9)), ('6º ao 9º EFAF'!D9/(B10*4)), 0)</f>
        <v>0.765625</v>
      </c>
      <c r="N10" s="13">
        <f>IF(AND(ISNUMBER(B10), B10&gt;0, ISNUMBER('6º ao 9º EFAF'!E9)), ('6º ao 9º EFAF'!E9/(B10*4)), 0)</f>
        <v>0.3125</v>
      </c>
      <c r="O10" s="12" t="s">
        <v>62</v>
      </c>
      <c r="P10" s="14">
        <f t="shared" si="4"/>
        <v>0.5425347222</v>
      </c>
    </row>
    <row r="11" ht="21.75" customHeight="1">
      <c r="A11" s="9" t="s">
        <v>53</v>
      </c>
      <c r="B11" s="10">
        <f>'6º ao 9º EFAF'!C10</f>
        <v>34</v>
      </c>
      <c r="C11" s="10">
        <f>'6º ao 9º EFAF'!B10</f>
        <v>36</v>
      </c>
      <c r="D11" s="11">
        <f t="shared" si="3"/>
        <v>0.9444444444</v>
      </c>
      <c r="E11" s="12" t="s">
        <v>62</v>
      </c>
      <c r="F11" s="13">
        <f>IF(AND(ISNUMBER(B11), B11&gt;0, ISNUMBER('6º ao 9º EFAF'!G10)), ('6º ao 9º EFAF'!G10/(B11*3)), 0)</f>
        <v>0.637254902</v>
      </c>
      <c r="G11" s="12" t="s">
        <v>62</v>
      </c>
      <c r="H11" s="12" t="s">
        <v>62</v>
      </c>
      <c r="I11" s="12" t="s">
        <v>62</v>
      </c>
      <c r="J11" s="13">
        <f>IF(AND(ISNUMBER(B11), B11&gt;0, ISNUMBER('6º ao 9º EFAF'!I10)), ('6º ao 9º EFAF'!I10/(B11*3)), 0)</f>
        <v>0.3235294118</v>
      </c>
      <c r="K11" s="13">
        <f>IF(AND(ISNUMBER(B11), B11&gt;0, ISNUMBER('6º ao 9º EFAF'!H10)), ('6º ao 9º EFAF'!H10/(B11*3)), 0)</f>
        <v>0.5196078431</v>
      </c>
      <c r="L11" s="13">
        <f>IF(AND(ISNUMBER(B11), B11&gt;0, ISNUMBER('6º ao 9º EFAF'!F10)), ('6º ao 9º EFAF'!F10/(B11*3)), 0)</f>
        <v>0.5098039216</v>
      </c>
      <c r="M11" s="13">
        <f>IF(AND(ISNUMBER(B11), B11&gt;0, ISNUMBER('6º ao 9º EFAF'!D10)), ('6º ao 9º EFAF'!D10/(B11*4)), 0)</f>
        <v>0.6102941176</v>
      </c>
      <c r="N11" s="13">
        <f>IF(AND(ISNUMBER(B11), B11&gt;0, ISNUMBER('6º ao 9º EFAF'!E10)), ('6º ao 9º EFAF'!E10/(B11*4)), 0)</f>
        <v>0.3970588235</v>
      </c>
      <c r="O11" s="12" t="s">
        <v>62</v>
      </c>
      <c r="P11" s="14">
        <f t="shared" si="4"/>
        <v>0.4995915033</v>
      </c>
    </row>
    <row r="12" ht="21.75" customHeight="1">
      <c r="A12" s="9" t="s">
        <v>54</v>
      </c>
      <c r="B12" s="10">
        <f>'6º ao 9º EFAF'!C11</f>
        <v>35</v>
      </c>
      <c r="C12" s="10">
        <f>'6º ao 9º EFAF'!B11</f>
        <v>36</v>
      </c>
      <c r="D12" s="11">
        <f t="shared" si="3"/>
        <v>0.9722222222</v>
      </c>
      <c r="E12" s="12" t="s">
        <v>62</v>
      </c>
      <c r="F12" s="13">
        <f>IF(AND(ISNUMBER(B12), B12&gt;0, ISNUMBER('6º ao 9º EFAF'!G11)), ('6º ao 9º EFAF'!G11/(B12*3)), 0)</f>
        <v>0.7047619048</v>
      </c>
      <c r="G12" s="12" t="s">
        <v>62</v>
      </c>
      <c r="H12" s="12" t="s">
        <v>62</v>
      </c>
      <c r="I12" s="12" t="s">
        <v>62</v>
      </c>
      <c r="J12" s="13">
        <f>IF(AND(ISNUMBER(B12), B12&gt;0, ISNUMBER('6º ao 9º EFAF'!I11)), ('6º ao 9º EFAF'!I11/(B12*3)), 0)</f>
        <v>0.4571428571</v>
      </c>
      <c r="K12" s="13">
        <f>IF(AND(ISNUMBER(B12), B12&gt;0, ISNUMBER('6º ao 9º EFAF'!H11)), ('6º ao 9º EFAF'!H11/(B12*3)), 0)</f>
        <v>0.6476190476</v>
      </c>
      <c r="L12" s="13">
        <f>IF(AND(ISNUMBER(B12), B12&gt;0, ISNUMBER('6º ao 9º EFAF'!F11)), ('6º ao 9º EFAF'!F11/(B12*3)), 0)</f>
        <v>0.6952380952</v>
      </c>
      <c r="M12" s="13">
        <f>IF(AND(ISNUMBER(B12), B12&gt;0, ISNUMBER('6º ao 9º EFAF'!D11)), ('6º ao 9º EFAF'!D11/(B12*4)), 0)</f>
        <v>0.7214285714</v>
      </c>
      <c r="N12" s="13">
        <f>IF(AND(ISNUMBER(B12), B12&gt;0, ISNUMBER('6º ao 9º EFAF'!E11)), ('6º ao 9º EFAF'!E11/(B12*4)), 0)</f>
        <v>0.3857142857</v>
      </c>
      <c r="O12" s="12" t="s">
        <v>62</v>
      </c>
      <c r="P12" s="14">
        <f t="shared" si="4"/>
        <v>0.601984127</v>
      </c>
    </row>
    <row r="13" ht="21.75" customHeight="1">
      <c r="A13" s="9" t="s">
        <v>56</v>
      </c>
      <c r="B13" s="10">
        <f>'6º ao 9º EFAF'!C12</f>
        <v>33</v>
      </c>
      <c r="C13" s="10">
        <f>'6º ao 9º EFAF'!B12</f>
        <v>35</v>
      </c>
      <c r="D13" s="11">
        <f t="shared" si="3"/>
        <v>0.9428571429</v>
      </c>
      <c r="E13" s="12" t="s">
        <v>62</v>
      </c>
      <c r="F13" s="13">
        <f>IF(AND(ISNUMBER(B13), B13&gt;0, ISNUMBER('6º ao 9º EFAF'!G12)), ('6º ao 9º EFAF'!G12/(B13*3)), 0)</f>
        <v>0.5555555556</v>
      </c>
      <c r="G13" s="12" t="s">
        <v>62</v>
      </c>
      <c r="H13" s="12" t="s">
        <v>62</v>
      </c>
      <c r="I13" s="12" t="s">
        <v>62</v>
      </c>
      <c r="J13" s="13">
        <f>IF(AND(ISNUMBER(B13), B13&gt;0, ISNUMBER('6º ao 9º EFAF'!I12)), ('6º ao 9º EFAF'!I12/(B13*3)), 0)</f>
        <v>0.4747474747</v>
      </c>
      <c r="K13" s="13">
        <f>IF(AND(ISNUMBER(B13), B13&gt;0, ISNUMBER('6º ao 9º EFAF'!H12)), ('6º ao 9º EFAF'!H12/(B13*3)), 0)</f>
        <v>0.1818181818</v>
      </c>
      <c r="L13" s="13">
        <f>IF(AND(ISNUMBER(B13), B13&gt;0, ISNUMBER('6º ao 9º EFAF'!F12)), ('6º ao 9º EFAF'!F12/(B13*3)), 0)</f>
        <v>0.5252525253</v>
      </c>
      <c r="M13" s="13">
        <f>IF(AND(ISNUMBER(B13), B13&gt;0, ISNUMBER('6º ao 9º EFAF'!D12)), ('6º ao 9º EFAF'!D12/(B13*4)), 0)</f>
        <v>0.5454545455</v>
      </c>
      <c r="N13" s="13">
        <f>IF(AND(ISNUMBER(B13), B13&gt;0, ISNUMBER('6º ao 9º EFAF'!E12)), ('6º ao 9º EFAF'!E12/(B13*4)), 0)</f>
        <v>0.2727272727</v>
      </c>
      <c r="O13" s="12" t="s">
        <v>62</v>
      </c>
      <c r="P13" s="14">
        <f t="shared" si="4"/>
        <v>0.4259259259</v>
      </c>
    </row>
    <row r="14" ht="21.75" customHeight="1">
      <c r="A14" s="9" t="s">
        <v>57</v>
      </c>
      <c r="B14" s="10">
        <f>'6º ao 9º EFAF'!C13</f>
        <v>32</v>
      </c>
      <c r="C14" s="10">
        <f>'6º ao 9º EFAF'!B13</f>
        <v>35</v>
      </c>
      <c r="D14" s="11">
        <f t="shared" si="3"/>
        <v>0.9142857143</v>
      </c>
      <c r="E14" s="12" t="s">
        <v>62</v>
      </c>
      <c r="F14" s="13">
        <f>IF(AND(ISNUMBER(B14), B14&gt;0, ISNUMBER('6º ao 9º EFAF'!G13)), ('6º ao 9º EFAF'!G13/(B14*3)), 0)</f>
        <v>0.6145833333</v>
      </c>
      <c r="G14" s="12" t="s">
        <v>62</v>
      </c>
      <c r="H14" s="12" t="s">
        <v>62</v>
      </c>
      <c r="I14" s="12" t="s">
        <v>62</v>
      </c>
      <c r="J14" s="13">
        <f>IF(AND(ISNUMBER(B14), B14&gt;0, ISNUMBER('6º ao 9º EFAF'!I13)), ('6º ao 9º EFAF'!I13/(B14*3)), 0)</f>
        <v>0.5520833333</v>
      </c>
      <c r="K14" s="13">
        <f>IF(AND(ISNUMBER(B14), B14&gt;0, ISNUMBER('6º ao 9º EFAF'!H13)), ('6º ao 9º EFAF'!H13/(B14*3)), 0)</f>
        <v>0.1875</v>
      </c>
      <c r="L14" s="13">
        <f>IF(AND(ISNUMBER(B14), B14&gt;0, ISNUMBER('6º ao 9º EFAF'!F13)), ('6º ao 9º EFAF'!F13/(B14*3)), 0)</f>
        <v>0.4270833333</v>
      </c>
      <c r="M14" s="13">
        <f>IF(AND(ISNUMBER(B14), B14&gt;0, ISNUMBER('6º ao 9º EFAF'!D13)), ('6º ao 9º EFAF'!D13/(B14*4)), 0)</f>
        <v>0.6015625</v>
      </c>
      <c r="N14" s="13">
        <f>IF(AND(ISNUMBER(B14), B14&gt;0, ISNUMBER('6º ao 9º EFAF'!E13)), ('6º ao 9º EFAF'!E13/(B14*4)), 0)</f>
        <v>0.3046875</v>
      </c>
      <c r="O14" s="12" t="s">
        <v>62</v>
      </c>
      <c r="P14" s="14">
        <f t="shared" si="4"/>
        <v>0.4479166667</v>
      </c>
    </row>
    <row r="15" ht="21.75" customHeight="1">
      <c r="A15" s="9" t="s">
        <v>59</v>
      </c>
      <c r="B15" s="10">
        <f>'6º ao 9º EFAF'!C14</f>
        <v>31</v>
      </c>
      <c r="C15" s="10">
        <f>'6º ao 9º EFAF'!B14</f>
        <v>35</v>
      </c>
      <c r="D15" s="11">
        <f t="shared" si="3"/>
        <v>0.8857142857</v>
      </c>
      <c r="E15" s="12" t="s">
        <v>62</v>
      </c>
      <c r="F15" s="13">
        <f>IF(AND(ISNUMBER(B15), B15&gt;0, ISNUMBER('6º ao 9º EFAF'!G14)), ('6º ao 9º EFAF'!G14/(B15*3)), 0)</f>
        <v>0.5698924731</v>
      </c>
      <c r="G15" s="12" t="s">
        <v>62</v>
      </c>
      <c r="H15" s="12" t="s">
        <v>62</v>
      </c>
      <c r="I15" s="12" t="s">
        <v>62</v>
      </c>
      <c r="J15" s="13">
        <f>IF(AND(ISNUMBER(B15), B15&gt;0, ISNUMBER('6º ao 9º EFAF'!I14)), ('6º ao 9º EFAF'!I14/(B15*3)), 0)</f>
        <v>0.5268817204</v>
      </c>
      <c r="K15" s="13">
        <f>IF(AND(ISNUMBER(B15), B15&gt;0, ISNUMBER('6º ao 9º EFAF'!H14)), ('6º ao 9º EFAF'!H14/(B15*3)), 0)</f>
        <v>0.2365591398</v>
      </c>
      <c r="L15" s="13">
        <f>IF(AND(ISNUMBER(B15), B15&gt;0, ISNUMBER('6º ao 9º EFAF'!F14)), ('6º ao 9º EFAF'!F14/(B15*3)), 0)</f>
        <v>0.3225806452</v>
      </c>
      <c r="M15" s="13">
        <f>IF(AND(ISNUMBER(B15), B15&gt;0, ISNUMBER('6º ao 9º EFAF'!D14)), ('6º ao 9º EFAF'!D14/(B15*4)), 0)</f>
        <v>0.4596774194</v>
      </c>
      <c r="N15" s="13">
        <f>IF(AND(ISNUMBER(B15), B15&gt;0, ISNUMBER('6º ao 9º EFAF'!E14)), ('6º ao 9º EFAF'!E14/(B15*4)), 0)</f>
        <v>0.2741935484</v>
      </c>
      <c r="O15" s="12" t="s">
        <v>62</v>
      </c>
      <c r="P15" s="14">
        <f t="shared" si="4"/>
        <v>0.398297491</v>
      </c>
    </row>
    <row r="16" ht="21.75" customHeight="1">
      <c r="A16" s="9" t="s">
        <v>28</v>
      </c>
      <c r="B16" s="10">
        <f>'1ª e 2ª EM'!C2</f>
        <v>31</v>
      </c>
      <c r="C16" s="10">
        <f>'1ª e 2ª EM'!B2</f>
        <v>33</v>
      </c>
      <c r="D16" s="11">
        <f t="shared" si="3"/>
        <v>0.9393939394</v>
      </c>
      <c r="E16" s="13">
        <f>IF(AND(ISNUMBER(B16), B16&gt;0, ISNUMBER('1ª e 2ª EM'!H2)), ('1ª e 2ª EM'!H2/(B16*2)), 0)</f>
        <v>0.3387096774</v>
      </c>
      <c r="F16" s="12" t="s">
        <v>62</v>
      </c>
      <c r="G16" s="13">
        <f>IF(AND(ISNUMBER(B16), B16&gt;0, ISNUMBER('1ª e 2ª EM'!K2)), ('1ª e 2ª EM'!K2/(B16*2)), 0)</f>
        <v>0.2580645161</v>
      </c>
      <c r="H16" s="12" t="s">
        <v>62</v>
      </c>
      <c r="I16" s="13">
        <f>IF(AND(ISNUMBER(B16), B16&gt;0, ISNUMBER('1ª e 2ª EM'!F2)), ('1ª e 2ª EM'!F2/(B16*2)), 0)</f>
        <v>0.2096774194</v>
      </c>
      <c r="J16" s="13">
        <f>IF(AND(ISNUMBER(B16), B16&gt;0, ISNUMBER('1ª e 2ª EM'!J2)), ('1ª e 2ª EM'!J2/(B16*2)), 0)</f>
        <v>0.4516129032</v>
      </c>
      <c r="K16" s="13">
        <f>IF(AND(ISNUMBER(B16), B16&gt;0, ISNUMBER('1ª e 2ª EM'!I2)), ('1ª e 2ª EM'!I2/(B16*2)), 0)</f>
        <v>0.1290322581</v>
      </c>
      <c r="L16" s="13">
        <f>IF(AND(ISNUMBER(B16), B16&gt;0, ISNUMBER('1ª e 2ª EM'!L2)), ('1ª e 2ª EM'!L2/(B16*2)), 0)</f>
        <v>0.2419354839</v>
      </c>
      <c r="M16" s="13">
        <f>IF(AND(ISNUMBER(B16), B16&gt;0, ISNUMBER('1ª e 2ª EM'!D2)), ('1ª e 2ª EM'!D2/(B16*4)), 0)</f>
        <v>0.3951612903</v>
      </c>
      <c r="N16" s="13">
        <f>IF(AND(ISNUMBER(B16), B16&gt;0, ISNUMBER('1ª e 2ª EM'!E2)), ('1ª e 2ª EM'!E2/(B16*4)), 0)</f>
        <v>0.2419354839</v>
      </c>
      <c r="O16" s="13">
        <f>IF(AND(ISNUMBER(B16), B16&gt;0, ISNUMBER('1ª e 2ª EM'!G2)), ('1ª e 2ª EM'!G2/(B16*2)), 0)</f>
        <v>0.1451612903</v>
      </c>
      <c r="P16" s="14">
        <f t="shared" si="4"/>
        <v>0.267921147</v>
      </c>
    </row>
    <row r="17" ht="21.75" customHeight="1">
      <c r="A17" s="9" t="s">
        <v>55</v>
      </c>
      <c r="B17" s="10">
        <f>'1ª e 2ª EM'!C3</f>
        <v>31</v>
      </c>
      <c r="C17" s="10">
        <f>'1ª e 2ª EM'!B3</f>
        <v>33</v>
      </c>
      <c r="D17" s="11">
        <f t="shared" si="3"/>
        <v>0.9393939394</v>
      </c>
      <c r="E17" s="13">
        <f>IF(AND(ISNUMBER(B17), B17&gt;0, ISNUMBER('1ª e 2ª EM'!H3)), ('1ª e 2ª EM'!H3/(B17*2)), 0)</f>
        <v>0.6612903226</v>
      </c>
      <c r="F17" s="12" t="s">
        <v>62</v>
      </c>
      <c r="G17" s="13">
        <f>IF(AND(ISNUMBER(B17), B17&gt;0, ISNUMBER('1ª e 2ª EM'!K3)), ('1ª e 2ª EM'!K3/(B17*2)), 0)</f>
        <v>0.4193548387</v>
      </c>
      <c r="H17" s="12" t="s">
        <v>62</v>
      </c>
      <c r="I17" s="13">
        <f>IF(AND(ISNUMBER(B17), B17&gt;0, ISNUMBER('1ª e 2ª EM'!F3)), ('1ª e 2ª EM'!F3/(B17*2)), 0)</f>
        <v>0.2903225806</v>
      </c>
      <c r="J17" s="13">
        <f>IF(AND(ISNUMBER(B17), B17&gt;0, ISNUMBER('1ª e 2ª EM'!J3)), ('1ª e 2ª EM'!J3/(B17*2)), 0)</f>
        <v>0.3548387097</v>
      </c>
      <c r="K17" s="13">
        <f>IF(AND(ISNUMBER(B17), B17&gt;0, ISNUMBER('1ª e 2ª EM'!I3)), ('1ª e 2ª EM'!I3/(B17*2)), 0)</f>
        <v>0.2741935484</v>
      </c>
      <c r="L17" s="13">
        <f>IF(AND(ISNUMBER(B17), B17&gt;0, ISNUMBER('1ª e 2ª EM'!L3)), ('1ª e 2ª EM'!L3/(B17*2)), 0)</f>
        <v>0.3064516129</v>
      </c>
      <c r="M17" s="13">
        <f>IF(AND(ISNUMBER(B17), B17&gt;0, ISNUMBER('1ª e 2ª EM'!D3)), ('1ª e 2ª EM'!D3/(B17*4)), 0)</f>
        <v>0.6451612903</v>
      </c>
      <c r="N17" s="13">
        <f>IF(AND(ISNUMBER(B17), B17&gt;0, ISNUMBER('1ª e 2ª EM'!E3)), ('1ª e 2ª EM'!E3/(B17*4)), 0)</f>
        <v>0.435483871</v>
      </c>
      <c r="O17" s="13">
        <f>IF(AND(ISNUMBER(B17), B17&gt;0, ISNUMBER('1ª e 2ª EM'!G3)), ('1ª e 2ª EM'!G3/(B17*2)), 0)</f>
        <v>0.3387096774</v>
      </c>
      <c r="P17" s="14">
        <f t="shared" si="4"/>
        <v>0.4139784946</v>
      </c>
    </row>
    <row r="18" ht="21.75" customHeight="1">
      <c r="A18" s="9" t="s">
        <v>58</v>
      </c>
      <c r="B18" s="10">
        <f>'1ª e 2ª EM'!C4</f>
        <v>14</v>
      </c>
      <c r="C18" s="10">
        <f>'1ª e 2ª EM'!B4</f>
        <v>15</v>
      </c>
      <c r="D18" s="11">
        <f t="shared" si="3"/>
        <v>0.9333333333</v>
      </c>
      <c r="E18" s="13">
        <f>IF(AND(ISNUMBER(B18), B18&gt;0, ISNUMBER('1ª e 2ª EM'!H4)), ('1ª e 2ª EM'!H4/(B18*2)), 0)</f>
        <v>0.6071428571</v>
      </c>
      <c r="F18" s="12" t="s">
        <v>62</v>
      </c>
      <c r="G18" s="12" t="s">
        <v>62</v>
      </c>
      <c r="H18" s="13">
        <f>IF(AND(ISNUMBER(B18), B18&gt;0, ISNUMBER('1ª e 2ª EM'!K4)), ('1ª e 2ª EM'!K4/(B18*2)), 0)</f>
        <v>0.2142857143</v>
      </c>
      <c r="I18" s="13">
        <f>IF(AND(ISNUMBER(B18), B18&gt;0, ISNUMBER('1ª e 2ª EM'!F4)), ('1ª e 2ª EM'!F4/(B18*2)), 0)</f>
        <v>0.4285714286</v>
      </c>
      <c r="J18" s="13">
        <f>IF(AND(ISNUMBER(B18), B18&gt;0, ISNUMBER('1ª e 2ª EM'!J4)), ('1ª e 2ª EM'!J4/(B18*2)), 0)</f>
        <v>0.3571428571</v>
      </c>
      <c r="K18" s="13">
        <f>IF(AND(ISNUMBER(B18), B18&gt;0, ISNUMBER('1ª e 2ª EM'!I4)), ('1ª e 2ª EM'!I4/(B18*2)), 0)</f>
        <v>0.8928571429</v>
      </c>
      <c r="L18" s="13">
        <f>IF(AND(ISNUMBER(B18), B18&gt;0, ISNUMBER('1ª e 2ª EM'!L4)), ('1ª e 2ª EM'!L4/(B18*2)), 0)</f>
        <v>0.6071428571</v>
      </c>
      <c r="M18" s="13">
        <f>IF(AND(ISNUMBER(B18), B18&gt;0, ISNUMBER('1ª e 2ª EM'!D4)), ('1ª e 2ª EM'!D4/(B18*4)), 0)</f>
        <v>0.5535714286</v>
      </c>
      <c r="N18" s="13">
        <f>IF(AND(ISNUMBER(B18), B18&gt;0, ISNUMBER('1ª e 2ª EM'!E4)), ('1ª e 2ª EM'!E4/(B18*4)), 0)</f>
        <v>0.8571428571</v>
      </c>
      <c r="O18" s="13">
        <f>IF(AND(ISNUMBER(B18), B18&gt;0, ISNUMBER('1ª e 2ª EM'!G4)), ('1ª e 2ª EM'!G4/(B18*2)), 0)</f>
        <v>0.5714285714</v>
      </c>
      <c r="P18" s="14">
        <f t="shared" si="4"/>
        <v>0.5654761905</v>
      </c>
    </row>
    <row r="19" ht="21.75" customHeight="1">
      <c r="A19" s="9" t="s">
        <v>60</v>
      </c>
      <c r="B19" s="10">
        <f>'1ª e 2ª EM'!C5</f>
        <v>15</v>
      </c>
      <c r="C19" s="10">
        <f>'1ª e 2ª EM'!B5</f>
        <v>15</v>
      </c>
      <c r="D19" s="11">
        <f t="shared" si="3"/>
        <v>1</v>
      </c>
      <c r="E19" s="13">
        <f>IF(AND(ISNUMBER(B19), B19&gt;0, ISNUMBER('1ª e 2ª EM'!H5)), ('1ª e 2ª EM'!H5/(B19*2)), 0)</f>
        <v>0.9333333333</v>
      </c>
      <c r="F19" s="12" t="s">
        <v>62</v>
      </c>
      <c r="G19" s="12" t="s">
        <v>62</v>
      </c>
      <c r="H19" s="13">
        <f>IF(AND(ISNUMBER(B19), B19&gt;0, ISNUMBER('1ª e 2ª EM'!K5)), ('1ª e 2ª EM'!K5/(B19*2)), 0)</f>
        <v>0.8333333333</v>
      </c>
      <c r="I19" s="13">
        <f>IF(AND(ISNUMBER(B19), B19&gt;0, ISNUMBER('1ª e 2ª EM'!F5)), ('1ª e 2ª EM'!F5/(B19*2)), 0)</f>
        <v>0.2</v>
      </c>
      <c r="J19" s="13">
        <f>IF(AND(ISNUMBER(B19), B19&gt;0, ISNUMBER('1ª e 2ª EM'!J5)), ('1ª e 2ª EM'!J5/(B19*2)), 0)</f>
        <v>0.06666666667</v>
      </c>
      <c r="K19" s="13">
        <f>IF(AND(ISNUMBER(B19), B19&gt;0, ISNUMBER('1ª e 2ª EM'!I5)), ('1ª e 2ª EM'!I5/(B19*2)), 0)</f>
        <v>0.8666666667</v>
      </c>
      <c r="L19" s="13">
        <f>IF(AND(ISNUMBER(B19), B19&gt;0, ISNUMBER('1ª e 2ª EM'!L5)), ('1ª e 2ª EM'!L5/(B19*2)), 0)</f>
        <v>0.6666666667</v>
      </c>
      <c r="M19" s="13">
        <f>IF(AND(ISNUMBER(B19), B19&gt;0, ISNUMBER('1ª e 2ª EM'!D5)), ('1ª e 2ª EM'!D5/(B19*4)), 0)</f>
        <v>0.6833333333</v>
      </c>
      <c r="N19" s="13">
        <f>IF(AND(ISNUMBER(B19), B19&gt;0, ISNUMBER('1ª e 2ª EM'!E5)), ('1ª e 2ª EM'!E5/(B19*4)), 0)</f>
        <v>0.1833333333</v>
      </c>
      <c r="O19" s="13">
        <f>IF(AND(ISNUMBER(B19), B19&gt;0, ISNUMBER('1ª e 2ª EM'!G5)), ('1ª e 2ª EM'!G5/(B19*2)), 0)</f>
        <v>0.8333333333</v>
      </c>
      <c r="P19" s="14">
        <f t="shared" si="4"/>
        <v>0.5851851852</v>
      </c>
    </row>
    <row r="20" ht="21.75" customHeight="1">
      <c r="A20" s="9" t="s">
        <v>61</v>
      </c>
      <c r="B20" s="10">
        <f>'1ª e 2ª EM'!C6</f>
        <v>20</v>
      </c>
      <c r="C20" s="10">
        <f>'1ª e 2ª EM'!B6</f>
        <v>22</v>
      </c>
      <c r="D20" s="11">
        <f t="shared" si="3"/>
        <v>0.9090909091</v>
      </c>
      <c r="E20" s="13">
        <f>IF(AND(ISNUMBER(B20), B20&gt;0, ISNUMBER('1ª e 2ª EM'!H6)), ('1ª e 2ª EM'!H6/(B20*2)), 0)</f>
        <v>0.8</v>
      </c>
      <c r="F20" s="12" t="s">
        <v>62</v>
      </c>
      <c r="G20" s="12" t="s">
        <v>62</v>
      </c>
      <c r="H20" s="13">
        <f>IF(AND(ISNUMBER(B20), B20&gt;0, ISNUMBER('1ª e 2ª EM'!K6)), ('1ª e 2ª EM'!K6/(B20*2)), 0)</f>
        <v>0.625</v>
      </c>
      <c r="I20" s="13">
        <f>IF(AND(ISNUMBER(B20), B20&gt;0, ISNUMBER('1ª e 2ª EM'!F6)), ('1ª e 2ª EM'!F6/(B20*2)), 0)</f>
        <v>0.5</v>
      </c>
      <c r="J20" s="13">
        <f>IF(AND(ISNUMBER(B20), B20&gt;0, ISNUMBER('1ª e 2ª EM'!J6)), ('1ª e 2ª EM'!J6/(B20*2)), 0)</f>
        <v>0.725</v>
      </c>
      <c r="K20" s="13">
        <f>IF(AND(ISNUMBER(B20), B20&gt;0, ISNUMBER('1ª e 2ª EM'!I6)), ('1ª e 2ª EM'!I6/(B20*2)), 0)</f>
        <v>0.9</v>
      </c>
      <c r="L20" s="13">
        <f>IF(AND(ISNUMBER(B20), B20&gt;0, ISNUMBER('1ª e 2ª EM'!L6)), ('1ª e 2ª EM'!L6/(B20*2)), 0)</f>
        <v>0.55</v>
      </c>
      <c r="M20" s="13">
        <f>IF(AND(ISNUMBER(B20), B20&gt;0, ISNUMBER('1ª e 2ª EM'!D6)), ('1ª e 2ª EM'!D6/(B20*4)), 0)</f>
        <v>0.8125</v>
      </c>
      <c r="N20" s="13">
        <f>IF(AND(ISNUMBER(B20), B20&gt;0, ISNUMBER('1ª e 2ª EM'!E6)), ('1ª e 2ª EM'!E6/(B20*4)), 0)</f>
        <v>0.475</v>
      </c>
      <c r="O20" s="13">
        <f>IF(AND(ISNUMBER(B20), B20&gt;0, ISNUMBER('1ª e 2ª EM'!G6)), ('1ª e 2ª EM'!G6/(B20*2)), 0)</f>
        <v>0.625</v>
      </c>
      <c r="P20" s="14">
        <f t="shared" si="4"/>
        <v>0.6680555556</v>
      </c>
    </row>
    <row r="21" ht="21.75" customHeight="1">
      <c r="A21" s="9" t="s">
        <v>17</v>
      </c>
      <c r="B21" s="10">
        <f>'3ª EM'!C2</f>
        <v>18</v>
      </c>
      <c r="C21" s="10">
        <f>'3ª EM'!B2</f>
        <v>18</v>
      </c>
      <c r="D21" s="11">
        <f t="shared" si="3"/>
        <v>1</v>
      </c>
      <c r="E21" s="12" t="s">
        <v>62</v>
      </c>
      <c r="F21" s="12" t="s">
        <v>62</v>
      </c>
      <c r="G21" s="12" t="s">
        <v>62</v>
      </c>
      <c r="H21" s="12" t="s">
        <v>62</v>
      </c>
      <c r="I21" s="13">
        <f>IF(AND(ISNUMBER(B21), B21&gt;0, ISNUMBER('3ª EM'!F2)), ('3ª EM'!F2/(B21*4)), 0)</f>
        <v>0.2638888889</v>
      </c>
      <c r="J21" s="12" t="s">
        <v>62</v>
      </c>
      <c r="K21" s="13">
        <f>IF(AND(ISNUMBER(B21), B21&gt;0, ISNUMBER('3ª EM'!G2)), ('3ª EM'!G2/(B21*4)), 0)</f>
        <v>0.3888888889</v>
      </c>
      <c r="L21" s="13">
        <f>IF(AND(ISNUMBER(B21), B21&gt;0, ISNUMBER('3ª EM'!H2)), ('3ª EM'!H2/(B21*4)), 0)</f>
        <v>0.4722222222</v>
      </c>
      <c r="M21" s="13">
        <f>IF(AND(ISNUMBER(B21), B21&gt;0, ISNUMBER('3ª EM'!D2)), ('3ª EM'!D2/(B21*5)), 0)</f>
        <v>0.6333333333</v>
      </c>
      <c r="N21" s="13">
        <f>IF(AND(ISNUMBER(B21), B21&gt;0, ISNUMBER('3ª EM'!E2)), ('3ª EM'!E2/(B21*5)), 0)</f>
        <v>0.3111111111</v>
      </c>
      <c r="O21" s="12" t="s">
        <v>62</v>
      </c>
      <c r="P21" s="14">
        <f t="shared" si="4"/>
        <v>0.4138888889</v>
      </c>
    </row>
    <row r="22" ht="21.75" customHeight="1">
      <c r="A22" s="9" t="s">
        <v>29</v>
      </c>
      <c r="B22" s="10">
        <f>'3ª EM'!C3</f>
        <v>19</v>
      </c>
      <c r="C22" s="10">
        <f>'3ª EM'!B3</f>
        <v>20</v>
      </c>
      <c r="D22" s="11">
        <f t="shared" si="3"/>
        <v>0.95</v>
      </c>
      <c r="E22" s="12" t="s">
        <v>62</v>
      </c>
      <c r="F22" s="12" t="s">
        <v>62</v>
      </c>
      <c r="G22" s="12" t="s">
        <v>62</v>
      </c>
      <c r="H22" s="12" t="s">
        <v>62</v>
      </c>
      <c r="I22" s="13">
        <f>IF(AND(ISNUMBER(B22), B22&gt;0, ISNUMBER('3ª EM'!F3)), ('3ª EM'!F3/(B22*4)), 0)</f>
        <v>0.3684210526</v>
      </c>
      <c r="J22" s="12" t="s">
        <v>62</v>
      </c>
      <c r="K22" s="13">
        <f>IF(AND(ISNUMBER(B22), B22&gt;0, ISNUMBER('3ª EM'!G3)), ('3ª EM'!G3/(B22*4)), 0)</f>
        <v>0.6973684211</v>
      </c>
      <c r="L22" s="13">
        <f>IF(AND(ISNUMBER(B22), B22&gt;0, ISNUMBER('3ª EM'!H3)), ('3ª EM'!H3/(B22*4)), 0)</f>
        <v>0.5657894737</v>
      </c>
      <c r="M22" s="13">
        <f>IF(AND(ISNUMBER(B22), B22&gt;0, ISNUMBER('3ª EM'!D3)), ('3ª EM'!D3/(B22*5)), 0)</f>
        <v>0.6105263158</v>
      </c>
      <c r="N22" s="13">
        <f>IF(AND(ISNUMBER(B22), B22&gt;0, ISNUMBER('3ª EM'!E3)), ('3ª EM'!E3/(B22*5)), 0)</f>
        <v>0.2842105263</v>
      </c>
      <c r="O22" s="12" t="s">
        <v>62</v>
      </c>
      <c r="P22" s="14">
        <f t="shared" si="4"/>
        <v>0.5052631579</v>
      </c>
    </row>
    <row r="23" ht="21.75" customHeight="1">
      <c r="A23" s="9" t="s">
        <v>37</v>
      </c>
      <c r="B23" s="10">
        <f>'3ª EM'!C4</f>
        <v>16</v>
      </c>
      <c r="C23" s="10">
        <f>'3ª EM'!B4</f>
        <v>16</v>
      </c>
      <c r="D23" s="11">
        <f t="shared" si="3"/>
        <v>1</v>
      </c>
      <c r="E23" s="12" t="s">
        <v>62</v>
      </c>
      <c r="F23" s="12" t="s">
        <v>62</v>
      </c>
      <c r="G23" s="12" t="s">
        <v>62</v>
      </c>
      <c r="H23" s="12" t="s">
        <v>62</v>
      </c>
      <c r="I23" s="13">
        <f>IF(AND(ISNUMBER(B23), B23&gt;0, ISNUMBER('3ª EM'!F4)), ('3ª EM'!F4/(B23*4)), 0)</f>
        <v>0.1875</v>
      </c>
      <c r="J23" s="12" t="s">
        <v>62</v>
      </c>
      <c r="K23" s="13">
        <f>IF(AND(ISNUMBER(B23), B23&gt;0, ISNUMBER('3ª EM'!G4)), ('3ª EM'!G4/(B23*4)), 0)</f>
        <v>0.359375</v>
      </c>
      <c r="L23" s="13">
        <f>IF(AND(ISNUMBER(B23), B23&gt;0, ISNUMBER('3ª EM'!H4)), ('3ª EM'!H4/(B23*4)), 0)</f>
        <v>0.28125</v>
      </c>
      <c r="M23" s="13">
        <f>IF(AND(ISNUMBER(B23), B23&gt;0, ISNUMBER('3ª EM'!D4)), ('3ª EM'!D4/(B23*5)), 0)</f>
        <v>0.4875</v>
      </c>
      <c r="N23" s="13">
        <f>IF(AND(ISNUMBER(B23), B23&gt;0, ISNUMBER('3ª EM'!E4)), ('3ª EM'!E4/(B23*5)), 0)</f>
        <v>0.2125</v>
      </c>
      <c r="O23" s="12" t="s">
        <v>62</v>
      </c>
      <c r="P23" s="14">
        <f t="shared" si="4"/>
        <v>0.305625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23">
    <cfRule type="cellIs" dxfId="0" priority="1" stopIfTrue="1" operator="between">
      <formula>0.50001</formula>
      <formula>1</formula>
    </cfRule>
  </conditionalFormatting>
  <conditionalFormatting sqref="E3:P23">
    <cfRule type="cellIs" dxfId="1" priority="2" stopIfTrue="1" operator="between">
      <formula>0.3</formula>
      <formula>0.5</formula>
    </cfRule>
  </conditionalFormatting>
  <conditionalFormatting sqref="E3:P23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