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<sst xmlns="http://schemas.openxmlformats.org/spreadsheetml/2006/main" count="93" uniqueCount="49">
  <si>
    <t>6º ao 9º EFAF</t>
  </si>
  <si>
    <t>1ª/2ª EM</t>
  </si>
  <si>
    <t>3ª EM</t>
  </si>
  <si>
    <t>Total de Matrículas</t>
  </si>
  <si>
    <t>Turma</t>
  </si>
  <si>
    <t>Alunos que fizeram a avaliação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</si>
  <si>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</si>
  <si>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</si>
  <si>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</si>
  <si>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</si>
  <si>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Língua Portuguesa (Questões 1, 2, 3, 4, 5)</t>
  </si>
  <si>
    <t>Acertos em História (Questões 15, 16, 17)</t>
  </si>
  <si>
    <t>Acertos em Matemática (Questões 6, 7, 8, 9, 10)</t>
  </si>
  <si>
    <t>Acertos em Geografia (Questões 18, 19, 20)</t>
  </si>
  <si>
    <t>Acertos em Física (Questões 11, 12, 13, 14)</t>
  </si>
  <si>
    <t>Total de Acertos</t>
  </si>
  <si>
    <t>Alunos (Pres.)</t>
  </si>
  <si>
    <t>Acertos em História (Questões 15, 16, 17, 18)</t>
  </si>
  <si>
    <t>Total Matric.</t>
  </si>
  <si>
    <t>Acertos em Língua Inglesa (Questões 19, 20, 21, 22)</t>
  </si>
  <si>
    <t>Part. (%)</t>
  </si>
  <si>
    <t>6º ANO A INTEGRAL 7H T1 ANUAL - 40978884</t>
  </si>
  <si>
    <t>Biologia</t>
  </si>
  <si>
    <t>Ciências</t>
  </si>
  <si>
    <t>Filosofia</t>
  </si>
  <si>
    <t>Acertos em Física (Questões 9, 10)</t>
  </si>
  <si>
    <t>3ª SERIE A INTEGRAL 7H T2 ANUAL - 40949116</t>
  </si>
  <si>
    <t>Sociologia</t>
  </si>
  <si>
    <t>Acertos em Química (Questões 11, 12)</t>
  </si>
  <si>
    <t>Física</t>
  </si>
  <si>
    <t>Acertos em Biologia (Questões 13, 14)</t>
  </si>
  <si>
    <t>Geografia</t>
  </si>
  <si>
    <t>Acertos em História (Questões 15, 16)</t>
  </si>
  <si>
    <t>História</t>
  </si>
  <si>
    <t>Acertos em Geografia (Questões 17, 18)</t>
  </si>
  <si>
    <t>Língua Inglesa</t>
  </si>
  <si>
    <t>Acertos em Filosofia/Sociologia (Questões 19, 20)</t>
  </si>
  <si>
    <t>Acertos em Língua Inglesa (Questões 21, 22)</t>
  </si>
  <si>
    <t>Língua Portuguesa</t>
  </si>
  <si>
    <t>Matemática</t>
  </si>
  <si>
    <t>Química</t>
  </si>
  <si>
    <t>Média Geral</t>
  </si>
  <si>
    <t>1ª SERIE A INTEGRAL 7H T2 ANUAL - 40971077</t>
  </si>
  <si>
    <t>MÉDIA GLOBAL DA ESCOLA</t>
  </si>
  <si>
    <t>7º ANO A INTEGRAL 7H T1 ANUAL - 40925487</t>
  </si>
  <si>
    <t>2ª SERIE A INTEGRAL 7H T2 ANUAL - 40959857</t>
  </si>
  <si>
    <t>8º ANO A INTEGRAL 7H T1 ANUAL - 40925488</t>
  </si>
  <si>
    <t>9º ANO A INTEGRAL 7H T1 ANUAL - 40925489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</si>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</sst>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15</v>
      </c>
    </row>
    <row r="2">
      <c r="A2" s="3" t="s">
        <v>21</v>
      </c>
      <c r="B2" s="4">
        <v>13.0</v>
      </c>
      <c r="C2" s="5">
        <v>10.0</v>
      </c>
      <c r="D2" s="5">
        <v>30.0</v>
      </c>
      <c r="E2" s="5">
        <v>16.0</v>
      </c>
      <c r="F2" s="5">
        <v>23.0</v>
      </c>
      <c r="G2" s="5">
        <v>20.0</v>
      </c>
      <c r="H2" s="5">
        <v>8.0</v>
      </c>
      <c r="I2" s="5">
        <v>21.0</v>
      </c>
      <c r="J2" s="4">
        <f t="shared" ref="J2:J5" si="1">IF(COUNT(D2:I2)&gt;0, SUM(D2:I2), 0)</f>
        <v>118</v>
      </c>
    </row>
    <row r="3">
      <c r="A3" s="3" t="s">
        <v>44</v>
      </c>
      <c r="B3" s="4">
        <v>12.0</v>
      </c>
      <c r="C3" s="5">
        <v>10.0</v>
      </c>
      <c r="D3" s="5">
        <v>31.0</v>
      </c>
      <c r="E3" s="5">
        <v>16.0</v>
      </c>
      <c r="F3" s="5">
        <v>13.0</v>
      </c>
      <c r="G3" s="5">
        <v>24.0</v>
      </c>
      <c r="H3" s="5">
        <v>10.0</v>
      </c>
      <c r="I3" s="5">
        <v>22.0</v>
      </c>
      <c r="J3" s="4">
        <f t="shared" si="1"/>
        <v>116</v>
      </c>
    </row>
    <row r="4">
      <c r="A4" s="3" t="s">
        <v>46</v>
      </c>
      <c r="B4" s="4">
        <v>16.0</v>
      </c>
      <c r="C4" s="5">
        <v>11.0</v>
      </c>
      <c r="D4" s="5">
        <v>33.0</v>
      </c>
      <c r="E4" s="5">
        <v>27.0</v>
      </c>
      <c r="F4" s="5">
        <v>25.0</v>
      </c>
      <c r="G4" s="5">
        <v>29.0</v>
      </c>
      <c r="H4" s="5">
        <v>27.0</v>
      </c>
      <c r="I4" s="5">
        <v>18.0</v>
      </c>
      <c r="J4" s="4">
        <f t="shared" si="1"/>
        <v>159</v>
      </c>
    </row>
    <row r="5">
      <c r="A5" s="3" t="s">
        <v>47</v>
      </c>
      <c r="B5" s="5">
        <v>15.0</v>
      </c>
      <c r="C5" s="5">
        <v>14.0</v>
      </c>
      <c r="D5" s="5">
        <v>39.0</v>
      </c>
      <c r="E5" s="5">
        <v>24.0</v>
      </c>
      <c r="F5" s="5">
        <v>21.0</v>
      </c>
      <c r="G5" s="5">
        <v>28.0</v>
      </c>
      <c r="H5" s="5">
        <v>6.0</v>
      </c>
      <c r="I5" s="5">
        <v>19.0</v>
      </c>
      <c r="J5" s="4">
        <f t="shared" si="1"/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1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25</v>
      </c>
      <c r="G1" s="1" t="s">
        <v>28</v>
      </c>
      <c r="H1" s="1" t="s">
        <v>30</v>
      </c>
      <c r="I1" s="1" t="s">
        <v>32</v>
      </c>
      <c r="J1" s="1" t="s">
        <v>34</v>
      </c>
      <c r="K1" s="1" t="s">
        <v>36</v>
      </c>
      <c r="L1" s="1" t="s">
        <v>37</v>
      </c>
      <c r="M1" s="1" t="s">
        <v>15</v>
      </c>
    </row>
    <row r="2">
      <c r="A2" s="3" t="s">
        <v>42</v>
      </c>
      <c r="B2" s="4">
        <v>15.0</v>
      </c>
      <c r="C2" s="5">
        <v>13.0</v>
      </c>
      <c r="D2" s="5">
        <v>33.0</v>
      </c>
      <c r="E2" s="5">
        <v>14.0</v>
      </c>
      <c r="F2" s="5">
        <v>14.0</v>
      </c>
      <c r="G2" s="5">
        <v>11.0</v>
      </c>
      <c r="H2" s="5">
        <v>11.0</v>
      </c>
      <c r="I2" s="5">
        <v>12.0</v>
      </c>
      <c r="J2" s="5">
        <v>11.0</v>
      </c>
      <c r="K2" s="5">
        <v>11.0</v>
      </c>
      <c r="L2" s="5">
        <v>18.0</v>
      </c>
      <c r="M2" s="4">
        <f t="shared" ref="M2:M3" si="1">IF(COUNT(D2:L2)&gt;0, SUM(D2:L2), 0)</f>
        <v>135</v>
      </c>
    </row>
    <row r="3">
      <c r="A3" s="3" t="s">
        <v>45</v>
      </c>
      <c r="B3" s="4">
        <v>11.0</v>
      </c>
      <c r="C3" s="5">
        <v>7.0</v>
      </c>
      <c r="D3" s="5">
        <v>18.0</v>
      </c>
      <c r="E3" s="5">
        <v>17.0</v>
      </c>
      <c r="F3" s="5">
        <v>6.0</v>
      </c>
      <c r="G3" s="5">
        <v>10.0</v>
      </c>
      <c r="H3" s="5">
        <v>9.0</v>
      </c>
      <c r="I3" s="5">
        <v>13.0</v>
      </c>
      <c r="J3" s="5">
        <v>7.0</v>
      </c>
      <c r="K3" s="5">
        <v>8.0</v>
      </c>
      <c r="L3" s="5">
        <v>6.0</v>
      </c>
      <c r="M3" s="4">
        <f t="shared" si="1"/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2</v>
      </c>
      <c r="B1" s="1" t="s">
        <v>3</v>
      </c>
      <c r="C1" s="1" t="s">
        <v>5</v>
      </c>
      <c r="D1" s="1" t="s">
        <v>10</v>
      </c>
      <c r="E1" s="1" t="s">
        <v>12</v>
      </c>
      <c r="F1" s="1" t="s">
        <v>14</v>
      </c>
      <c r="G1" s="1" t="s">
        <v>17</v>
      </c>
      <c r="H1" s="1" t="s">
        <v>19</v>
      </c>
      <c r="I1" s="1" t="s">
        <v>15</v>
      </c>
    </row>
    <row r="2">
      <c r="A2" s="3" t="s">
        <v>26</v>
      </c>
      <c r="B2" s="4">
        <v>6.0</v>
      </c>
      <c r="C2" s="5">
        <v>6.0</v>
      </c>
      <c r="D2" s="5">
        <v>21.0</v>
      </c>
      <c r="E2" s="5">
        <v>13.0</v>
      </c>
      <c r="F2" s="5">
        <v>4.0</v>
      </c>
      <c r="G2" s="5">
        <v>19.0</v>
      </c>
      <c r="H2" s="5">
        <v>21.0</v>
      </c>
      <c r="I2" s="4">
        <f>IF(COUNT(D2:H2)&gt;0, SUM(D2:H2), 0)</f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2" t="s">
        <v>4</v>
      </c>
      <c r="B1" s="2" t="s">
        <v>16</v>
      </c>
      <c r="C1" s="2" t="s">
        <v>18</v>
      </c>
      <c r="D1" s="2" t="s">
        <v>20</v>
      </c>
      <c r="E1" s="2" t="s">
        <v>22</v>
      </c>
      <c r="F1" s="2" t="s">
        <v>23</v>
      </c>
      <c r="G1" s="2" t="s">
        <v>24</v>
      </c>
      <c r="H1" s="2" t="s">
        <v>27</v>
      </c>
      <c r="I1" s="2" t="s">
        <v>29</v>
      </c>
      <c r="J1" s="2" t="s">
        <v>31</v>
      </c>
      <c r="K1" s="2" t="s">
        <v>33</v>
      </c>
      <c r="L1" s="2" t="s">
        <v>35</v>
      </c>
      <c r="M1" s="2" t="s">
        <v>38</v>
      </c>
      <c r="N1" s="2" t="s">
        <v>39</v>
      </c>
      <c r="O1" s="2" t="s">
        <v>40</v>
      </c>
      <c r="P1" s="2" t="s">
        <v>41</v>
      </c>
    </row>
    <row r="2" ht="27.75" customHeight="1">
      <c r="A2" s="6" t="s">
        <v>43</v>
      </c>
      <c r="B2" s="7">
        <f t="shared" ref="B2:C2" si="1">IFERROR(SUM(B3:B9), 0)</f>
        <v>71</v>
      </c>
      <c r="C2" s="7">
        <f t="shared" si="1"/>
        <v>88</v>
      </c>
      <c r="D2" s="8">
        <f t="shared" ref="D2:D9" si="3">IF(AND(ISNUMBER(C2), C2&gt;0, ISNUMBER(B2)), B2/C2, 0)</f>
        <v>0.8068181818</v>
      </c>
      <c r="E2" s="8">
        <f t="shared" ref="E2:P2" si="2">IFERROR(AVERAGEIF(E3:E9, "&gt;0"), 0)</f>
        <v>0.532967033</v>
      </c>
      <c r="F2" s="8">
        <f t="shared" si="2"/>
        <v>0.753030303</v>
      </c>
      <c r="G2" s="8">
        <f t="shared" si="2"/>
        <v>0.4230769231</v>
      </c>
      <c r="H2" s="8">
        <f t="shared" si="2"/>
        <v>0.5714285714</v>
      </c>
      <c r="I2" s="8">
        <f t="shared" si="2"/>
        <v>0.3778998779</v>
      </c>
      <c r="J2" s="8">
        <f t="shared" si="2"/>
        <v>0.559040959</v>
      </c>
      <c r="K2" s="8">
        <f t="shared" si="2"/>
        <v>0.5346879311</v>
      </c>
      <c r="L2" s="8">
        <f t="shared" si="2"/>
        <v>0.6362078398</v>
      </c>
      <c r="M2" s="8">
        <f t="shared" si="2"/>
        <v>0.7069858713</v>
      </c>
      <c r="N2" s="8">
        <f t="shared" si="2"/>
        <v>0.450273536</v>
      </c>
      <c r="O2" s="8">
        <f t="shared" si="2"/>
        <v>0.5686813187</v>
      </c>
      <c r="P2" s="8">
        <f t="shared" si="2"/>
        <v>0.579461253</v>
      </c>
    </row>
    <row r="3" ht="21.75" customHeight="1">
      <c r="A3" s="9" t="s">
        <v>21</v>
      </c>
      <c r="B3" s="10">
        <f>'6º ao 9º EFAF'!C2</f>
        <v>10</v>
      </c>
      <c r="C3" s="10">
        <f>'6º ao 9º EFAF'!B2</f>
        <v>13</v>
      </c>
      <c r="D3" s="11">
        <f t="shared" si="3"/>
        <v>0.7692307692</v>
      </c>
      <c r="E3" s="12" t="s">
        <v>48</v>
      </c>
      <c r="F3" s="13">
        <f>IF(AND(ISNUMBER(B3), B3&gt;0, ISNUMBER('6º ao 9º EFAF'!G2)), ('6º ao 9º EFAF'!G2/(B3*3)), 0)</f>
        <v>0.6666666667</v>
      </c>
      <c r="G3" s="12" t="s">
        <v>48</v>
      </c>
      <c r="H3" s="12" t="s">
        <v>48</v>
      </c>
      <c r="I3" s="12" t="s">
        <v>48</v>
      </c>
      <c r="J3" s="13">
        <f>IF(AND(ISNUMBER(B3), B3&gt;0, ISNUMBER('6º ao 9º EFAF'!I2)), ('6º ao 9º EFAF'!I2/(B3*3)), 0)</f>
        <v>0.7</v>
      </c>
      <c r="K3" s="13">
        <f>IF(AND(ISNUMBER(B3), B3&gt;0, ISNUMBER('6º ao 9º EFAF'!H2)), ('6º ao 9º EFAF'!H2/(B3*3)), 0)</f>
        <v>0.2666666667</v>
      </c>
      <c r="L3" s="13">
        <f>IF(AND(ISNUMBER(B3), B3&gt;0, ISNUMBER('6º ao 9º EFAF'!F2)), ('6º ao 9º EFAF'!F2/(B3*3)), 0)</f>
        <v>0.7666666667</v>
      </c>
      <c r="M3" s="13">
        <f>IF(AND(ISNUMBER(B3), B3&gt;0, ISNUMBER('6º ao 9º EFAF'!D2)), ('6º ao 9º EFAF'!D2/(B3*4)), 0)</f>
        <v>0.75</v>
      </c>
      <c r="N3" s="13">
        <f>IF(AND(ISNUMBER(B3), B3&gt;0, ISNUMBER('6º ao 9º EFAF'!E2)), ('6º ao 9º EFAF'!E2/(B3*4)), 0)</f>
        <v>0.4</v>
      </c>
      <c r="O3" s="12" t="s">
        <v>48</v>
      </c>
      <c r="P3" s="14">
        <f t="shared" ref="P3:P9" si="4">IFERROR(AVERAGEIF(E3:O3, "&gt;0"), 0)</f>
        <v>0.5916666667</v>
      </c>
    </row>
    <row r="4" ht="21.75" customHeight="1">
      <c r="A4" s="9" t="s">
        <v>44</v>
      </c>
      <c r="B4" s="10">
        <f>'6º ao 9º EFAF'!C3</f>
        <v>10</v>
      </c>
      <c r="C4" s="10">
        <f>'6º ao 9º EFAF'!B3</f>
        <v>12</v>
      </c>
      <c r="D4" s="11">
        <f t="shared" si="3"/>
        <v>0.8333333333</v>
      </c>
      <c r="E4" s="12" t="s">
        <v>48</v>
      </c>
      <c r="F4" s="13">
        <f>IF(AND(ISNUMBER(B4), B4&gt;0, ISNUMBER('6º ao 9º EFAF'!G3)), ('6º ao 9º EFAF'!G3/(B4*3)), 0)</f>
        <v>0.8</v>
      </c>
      <c r="G4" s="12" t="s">
        <v>48</v>
      </c>
      <c r="H4" s="12" t="s">
        <v>48</v>
      </c>
      <c r="I4" s="12" t="s">
        <v>48</v>
      </c>
      <c r="J4" s="13">
        <f>IF(AND(ISNUMBER(B4), B4&gt;0, ISNUMBER('6º ao 9º EFAF'!I3)), ('6º ao 9º EFAF'!I3/(B4*3)), 0)</f>
        <v>0.7333333333</v>
      </c>
      <c r="K4" s="13">
        <f>IF(AND(ISNUMBER(B4), B4&gt;0, ISNUMBER('6º ao 9º EFAF'!H3)), ('6º ao 9º EFAF'!H3/(B4*3)), 0)</f>
        <v>0.3333333333</v>
      </c>
      <c r="L4" s="13">
        <f>IF(AND(ISNUMBER(B4), B4&gt;0, ISNUMBER('6º ao 9º EFAF'!F3)), ('6º ao 9º EFAF'!F3/(B4*3)), 0)</f>
        <v>0.4333333333</v>
      </c>
      <c r="M4" s="13">
        <f>IF(AND(ISNUMBER(B4), B4&gt;0, ISNUMBER('6º ao 9º EFAF'!D3)), ('6º ao 9º EFAF'!D3/(B4*4)), 0)</f>
        <v>0.775</v>
      </c>
      <c r="N4" s="13">
        <f>IF(AND(ISNUMBER(B4), B4&gt;0, ISNUMBER('6º ao 9º EFAF'!E3)), ('6º ao 9º EFAF'!E3/(B4*4)), 0)</f>
        <v>0.4</v>
      </c>
      <c r="O4" s="12" t="s">
        <v>48</v>
      </c>
      <c r="P4" s="14">
        <f t="shared" si="4"/>
        <v>0.5791666667</v>
      </c>
    </row>
    <row r="5" ht="21.75" customHeight="1">
      <c r="A5" s="9" t="s">
        <v>46</v>
      </c>
      <c r="B5" s="10">
        <f>'6º ao 9º EFAF'!C4</f>
        <v>11</v>
      </c>
      <c r="C5" s="10">
        <f>'6º ao 9º EFAF'!B4</f>
        <v>16</v>
      </c>
      <c r="D5" s="11">
        <f t="shared" si="3"/>
        <v>0.6875</v>
      </c>
      <c r="E5" s="12" t="s">
        <v>48</v>
      </c>
      <c r="F5" s="13">
        <f>IF(AND(ISNUMBER(B5), B5&gt;0, ISNUMBER('6º ao 9º EFAF'!G4)), ('6º ao 9º EFAF'!G4/(B5*3)), 0)</f>
        <v>0.8787878788</v>
      </c>
      <c r="G5" s="12" t="s">
        <v>48</v>
      </c>
      <c r="H5" s="12" t="s">
        <v>48</v>
      </c>
      <c r="I5" s="12" t="s">
        <v>48</v>
      </c>
      <c r="J5" s="13">
        <f>IF(AND(ISNUMBER(B5), B5&gt;0, ISNUMBER('6º ao 9º EFAF'!I4)), ('6º ao 9º EFAF'!I4/(B5*3)), 0)</f>
        <v>0.5454545455</v>
      </c>
      <c r="K5" s="13">
        <f>IF(AND(ISNUMBER(B5), B5&gt;0, ISNUMBER('6º ao 9º EFAF'!H4)), ('6º ao 9º EFAF'!H4/(B5*3)), 0)</f>
        <v>0.8181818182</v>
      </c>
      <c r="L5" s="13">
        <f>IF(AND(ISNUMBER(B5), B5&gt;0, ISNUMBER('6º ao 9º EFAF'!F4)), ('6º ao 9º EFAF'!F4/(B5*3)), 0)</f>
        <v>0.7575757576</v>
      </c>
      <c r="M5" s="13">
        <f>IF(AND(ISNUMBER(B5), B5&gt;0, ISNUMBER('6º ao 9º EFAF'!D4)), ('6º ao 9º EFAF'!D4/(B5*4)), 0)</f>
        <v>0.75</v>
      </c>
      <c r="N5" s="13">
        <f>IF(AND(ISNUMBER(B5), B5&gt;0, ISNUMBER('6º ao 9º EFAF'!E4)), ('6º ao 9º EFAF'!E4/(B5*4)), 0)</f>
        <v>0.6136363636</v>
      </c>
      <c r="O5" s="12" t="s">
        <v>48</v>
      </c>
      <c r="P5" s="14">
        <f t="shared" si="4"/>
        <v>0.7272727273</v>
      </c>
    </row>
    <row r="6" ht="21.75" customHeight="1">
      <c r="A6" s="9" t="s">
        <v>47</v>
      </c>
      <c r="B6" s="10">
        <f>'6º ao 9º EFAF'!C5</f>
        <v>14</v>
      </c>
      <c r="C6" s="10">
        <f>'6º ao 9º EFAF'!B5</f>
        <v>15</v>
      </c>
      <c r="D6" s="11">
        <f t="shared" si="3"/>
        <v>0.9333333333</v>
      </c>
      <c r="E6" s="12" t="s">
        <v>48</v>
      </c>
      <c r="F6" s="13">
        <f>IF(AND(ISNUMBER(B6), B6&gt;0, ISNUMBER('6º ao 9º EFAF'!G5)), ('6º ao 9º EFAF'!G5/(B6*3)), 0)</f>
        <v>0.6666666667</v>
      </c>
      <c r="G6" s="12" t="s">
        <v>48</v>
      </c>
      <c r="H6" s="12" t="s">
        <v>48</v>
      </c>
      <c r="I6" s="12" t="s">
        <v>48</v>
      </c>
      <c r="J6" s="13">
        <f>IF(AND(ISNUMBER(B6), B6&gt;0, ISNUMBER('6º ao 9º EFAF'!I5)), ('6º ao 9º EFAF'!I5/(B6*3)), 0)</f>
        <v>0.4523809524</v>
      </c>
      <c r="K6" s="13">
        <f>IF(AND(ISNUMBER(B6), B6&gt;0, ISNUMBER('6º ao 9º EFAF'!H5)), ('6º ao 9º EFAF'!H5/(B6*3)), 0)</f>
        <v>0.1428571429</v>
      </c>
      <c r="L6" s="13">
        <f>IF(AND(ISNUMBER(B6), B6&gt;0, ISNUMBER('6º ao 9º EFAF'!F5)), ('6º ao 9º EFAF'!F5/(B6*3)), 0)</f>
        <v>0.5</v>
      </c>
      <c r="M6" s="13">
        <f>IF(AND(ISNUMBER(B6), B6&gt;0, ISNUMBER('6º ao 9º EFAF'!D5)), ('6º ao 9º EFAF'!D5/(B6*4)), 0)</f>
        <v>0.6964285714</v>
      </c>
      <c r="N6" s="13">
        <f>IF(AND(ISNUMBER(B6), B6&gt;0, ISNUMBER('6º ao 9º EFAF'!E5)), ('6º ao 9º EFAF'!E5/(B6*4)), 0)</f>
        <v>0.4285714286</v>
      </c>
      <c r="O6" s="12" t="s">
        <v>48</v>
      </c>
      <c r="P6" s="14">
        <f t="shared" si="4"/>
        <v>0.4811507937</v>
      </c>
    </row>
    <row r="7" ht="21.75" customHeight="1">
      <c r="A7" s="9" t="s">
        <v>42</v>
      </c>
      <c r="B7" s="10">
        <f>'1ª e 2ª EM'!C2</f>
        <v>13</v>
      </c>
      <c r="C7" s="10">
        <f>'1ª e 2ª EM'!B2</f>
        <v>15</v>
      </c>
      <c r="D7" s="11">
        <f t="shared" si="3"/>
        <v>0.8666666667</v>
      </c>
      <c r="E7" s="13">
        <f>IF(AND(ISNUMBER(B7), B7&gt;0, ISNUMBER('1ª e 2ª EM'!H2)), ('1ª e 2ª EM'!H2/(B7*2)), 0)</f>
        <v>0.4230769231</v>
      </c>
      <c r="F7" s="12" t="s">
        <v>48</v>
      </c>
      <c r="G7" s="13">
        <f>IF(AND(ISNUMBER(B7), B7&gt;0, ISNUMBER('1ª e 2ª EM'!K2)), ('1ª e 2ª EM'!K2/(B7*2)), 0)</f>
        <v>0.4230769231</v>
      </c>
      <c r="H7" s="12" t="s">
        <v>48</v>
      </c>
      <c r="I7" s="13">
        <f>IF(AND(ISNUMBER(B7), B7&gt;0, ISNUMBER('1ª e 2ª EM'!F2)), ('1ª e 2ª EM'!F2/(B7*2)), 0)</f>
        <v>0.5384615385</v>
      </c>
      <c r="J7" s="13">
        <f>IF(AND(ISNUMBER(B7), B7&gt;0, ISNUMBER('1ª e 2ª EM'!J2)), ('1ª e 2ª EM'!J2/(B7*2)), 0)</f>
        <v>0.4230769231</v>
      </c>
      <c r="K7" s="13">
        <f>IF(AND(ISNUMBER(B7), B7&gt;0, ISNUMBER('1ª e 2ª EM'!I2)), ('1ª e 2ª EM'!I2/(B7*2)), 0)</f>
        <v>0.4615384615</v>
      </c>
      <c r="L7" s="13">
        <f>IF(AND(ISNUMBER(B7), B7&gt;0, ISNUMBER('1ª e 2ª EM'!L2)), ('1ª e 2ª EM'!L2/(B7*2)), 0)</f>
        <v>0.6923076923</v>
      </c>
      <c r="M7" s="13">
        <f>IF(AND(ISNUMBER(B7), B7&gt;0, ISNUMBER('1ª e 2ª EM'!D2)), ('1ª e 2ª EM'!D2/(B7*4)), 0)</f>
        <v>0.6346153846</v>
      </c>
      <c r="N7" s="13">
        <f>IF(AND(ISNUMBER(B7), B7&gt;0, ISNUMBER('1ª e 2ª EM'!E2)), ('1ª e 2ª EM'!E2/(B7*4)), 0)</f>
        <v>0.2692307692</v>
      </c>
      <c r="O7" s="13">
        <f>IF(AND(ISNUMBER(B7), B7&gt;0, ISNUMBER('1ª e 2ª EM'!G2)), ('1ª e 2ª EM'!G2/(B7*2)), 0)</f>
        <v>0.4230769231</v>
      </c>
      <c r="P7" s="14">
        <f t="shared" si="4"/>
        <v>0.4764957265</v>
      </c>
    </row>
    <row r="8" ht="21.75" customHeight="1">
      <c r="A8" s="9" t="s">
        <v>45</v>
      </c>
      <c r="B8" s="10">
        <f>'1ª e 2ª EM'!C3</f>
        <v>7</v>
      </c>
      <c r="C8" s="10">
        <f>'1ª e 2ª EM'!B3</f>
        <v>11</v>
      </c>
      <c r="D8" s="11">
        <f t="shared" si="3"/>
        <v>0.6363636364</v>
      </c>
      <c r="E8" s="13">
        <f>IF(AND(ISNUMBER(B8), B8&gt;0, ISNUMBER('1ª e 2ª EM'!H3)), ('1ª e 2ª EM'!H3/(B8*2)), 0)</f>
        <v>0.6428571429</v>
      </c>
      <c r="F8" s="12" t="s">
        <v>48</v>
      </c>
      <c r="G8" s="12" t="s">
        <v>48</v>
      </c>
      <c r="H8" s="13">
        <f>IF(AND(ISNUMBER(B8), B8&gt;0, ISNUMBER('1ª e 2ª EM'!K3)), ('1ª e 2ª EM'!K3/(B8*2)), 0)</f>
        <v>0.5714285714</v>
      </c>
      <c r="I8" s="13">
        <f>IF(AND(ISNUMBER(B8), B8&gt;0, ISNUMBER('1ª e 2ª EM'!F3)), ('1ª e 2ª EM'!F3/(B8*2)), 0)</f>
        <v>0.4285714286</v>
      </c>
      <c r="J8" s="13">
        <f>IF(AND(ISNUMBER(B8), B8&gt;0, ISNUMBER('1ª e 2ª EM'!J3)), ('1ª e 2ª EM'!J3/(B8*2)), 0)</f>
        <v>0.5</v>
      </c>
      <c r="K8" s="13">
        <f>IF(AND(ISNUMBER(B8), B8&gt;0, ISNUMBER('1ª e 2ª EM'!I3)), ('1ª e 2ª EM'!I3/(B8*2)), 0)</f>
        <v>0.9285714286</v>
      </c>
      <c r="L8" s="13">
        <f>IF(AND(ISNUMBER(B8), B8&gt;0, ISNUMBER('1ª e 2ª EM'!L3)), ('1ª e 2ª EM'!L3/(B8*2)), 0)</f>
        <v>0.4285714286</v>
      </c>
      <c r="M8" s="13">
        <f>IF(AND(ISNUMBER(B8), B8&gt;0, ISNUMBER('1ª e 2ª EM'!D3)), ('1ª e 2ª EM'!D3/(B8*4)), 0)</f>
        <v>0.6428571429</v>
      </c>
      <c r="N8" s="13">
        <f>IF(AND(ISNUMBER(B8), B8&gt;0, ISNUMBER('1ª e 2ª EM'!E3)), ('1ª e 2ª EM'!E3/(B8*4)), 0)</f>
        <v>0.6071428571</v>
      </c>
      <c r="O8" s="13">
        <f>IF(AND(ISNUMBER(B8), B8&gt;0, ISNUMBER('1ª e 2ª EM'!G3)), ('1ª e 2ª EM'!G3/(B8*2)), 0)</f>
        <v>0.7142857143</v>
      </c>
      <c r="P8" s="14">
        <f t="shared" si="4"/>
        <v>0.6071428571</v>
      </c>
    </row>
    <row r="9" ht="21.75" customHeight="1">
      <c r="A9" s="9" t="s">
        <v>26</v>
      </c>
      <c r="B9" s="10">
        <f>'3ª EM'!C2</f>
        <v>6</v>
      </c>
      <c r="C9" s="10">
        <f>'3ª EM'!B2</f>
        <v>6</v>
      </c>
      <c r="D9" s="11">
        <f t="shared" si="3"/>
        <v>1</v>
      </c>
      <c r="E9" s="12" t="s">
        <v>48</v>
      </c>
      <c r="F9" s="12" t="s">
        <v>48</v>
      </c>
      <c r="G9" s="12" t="s">
        <v>48</v>
      </c>
      <c r="H9" s="12" t="s">
        <v>48</v>
      </c>
      <c r="I9" s="13">
        <f>IF(AND(ISNUMBER(B9), B9&gt;0, ISNUMBER('3ª EM'!F2)), ('3ª EM'!F2/(B9*4)), 0)</f>
        <v>0.1666666667</v>
      </c>
      <c r="J9" s="12" t="s">
        <v>48</v>
      </c>
      <c r="K9" s="13">
        <f>IF(AND(ISNUMBER(B9), B9&gt;0, ISNUMBER('3ª EM'!G2)), ('3ª EM'!G2/(B9*4)), 0)</f>
        <v>0.7916666667</v>
      </c>
      <c r="L9" s="13">
        <f>IF(AND(ISNUMBER(B9), B9&gt;0, ISNUMBER('3ª EM'!H2)), ('3ª EM'!H2/(B9*4)), 0)</f>
        <v>0.875</v>
      </c>
      <c r="M9" s="13">
        <f>IF(AND(ISNUMBER(B9), B9&gt;0, ISNUMBER('3ª EM'!D2)), ('3ª EM'!D2/(B9*5)), 0)</f>
        <v>0.7</v>
      </c>
      <c r="N9" s="13">
        <f>IF(AND(ISNUMBER(B9), B9&gt;0, ISNUMBER('3ª EM'!E2)), ('3ª EM'!E2/(B9*5)), 0)</f>
        <v>0.4333333333</v>
      </c>
      <c r="O9" s="12" t="s">
        <v>48</v>
      </c>
      <c r="P9" s="14">
        <f t="shared" si="4"/>
        <v>0.5933333333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9">
    <cfRule type="cellIs" dxfId="0" priority="1" stopIfTrue="1" operator="between">
      <formula>0.50001</formula>
      <formula>1</formula>
    </cfRule>
  </conditionalFormatting>
  <conditionalFormatting sqref="E3:P9">
    <cfRule type="cellIs" dxfId="1" priority="2" stopIfTrue="1" operator="between">
      <formula>0.3</formula>
      <formula>0.5</formula>
    </cfRule>
  </conditionalFormatting>
  <conditionalFormatting sqref="E3:P9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