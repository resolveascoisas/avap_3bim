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<sst xmlns="http://schemas.openxmlformats.org/spreadsheetml/2006/main" count="65" uniqueCount="45">
  <si>
    <t>6º ao 9º EFAF</t>
  </si>
  <si>
    <t>Turma</t>
  </si>
  <si>
    <t>3ª EM</t>
  </si>
  <si>
    <t>1ª/2ª EM</t>
  </si>
  <si>
    <t>Total de Matrículas</t>
  </si>
  <si>
    <t>Alunos que fizeram a avaliação</t>
  </si>
  <si>
    <t>Acertos em Língua Portuguesa (Questões 1, 2, 3, 4)</t>
  </si>
  <si>
    <t>Acertos em Língua Portuguesa (Questões 1, 2, 3, 4, 5)</t>
  </si>
  <si>
    <t>Acertos em Matemática (Questões 5, 6, 7, 8)</t>
  </si>
  <si>
    <t>Acertos em Matemática (Questões 6, 7, 8, 9, 10)</t>
  </si>
  <si>
    <t>Acertos em Língua Inglesa (Questões 9, 10, 11)</t>
  </si>
  <si>
    <t>Acertos em Física (Questões 11, 12, 13, 14)</t>
  </si>
  <si>
    <t>Acertos em Física (Questões 9, 10)</t>
  </si>
  <si>
    <t>Acertos em Ciências (Questões 12, 13, 14)</t>
  </si>
  <si>
    <t>Acertos em História (Questões 15, 16, 17, 18)</t>
  </si>
  <si>
    <t>Acertos em Química (Questões 11, 12)</t>
  </si>
  <si>
    <t>Acertos em História (Questões 15, 16, 17)</t>
  </si>
  <si>
    <t>Alunos (Pres.)</t>
  </si>
  <si>
    <t>Acertos em Língua Inglesa (Questões 19, 20, 21, 22)</t>
  </si>
  <si>
    <t>Acertos em Geografia (Questões 18, 19, 20)</t>
  </si>
  <si>
    <t>Total Matric.</t>
  </si>
  <si>
    <t>Acertos em Biologia (Questões 13, 14)</t>
  </si>
  <si>
    <t>Total de Acertos</t>
  </si>
  <si>
    <t>Acertos em História (Questões 15, 16)</t>
  </si>
  <si>
    <t>Part. (%)</t>
  </si>
  <si>
    <t>Acertos em Geografia (Questões 17, 18)</t>
  </si>
  <si>
    <t>Acertos em Filosofia/Sociologia (Questões 19, 20)</t>
  </si>
  <si>
    <t>3ª SERIE 3Z TARDE ANUAL - 40949517</t>
  </si>
  <si>
    <t>Biologia</t>
  </si>
  <si>
    <t>Acertos em Língua Inglesa (Questões 21, 22)</t>
  </si>
  <si>
    <t>Ciências</t>
  </si>
  <si>
    <t>Filosofia</t>
  </si>
  <si>
    <t>Sociologia</t>
  </si>
  <si>
    <t>1ª SERIE 1Z TARDE ANUAL - 40989110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</si>
  <si>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</si>
  <si>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</si>
  <si>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</si>
  <si>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</si>
  <si>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</si>
  <si>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</si>
  <si>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</si>
  <si>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</si>
  <si>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</si>
  <si>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2ª SERIE 2Z TARDE ANUAL - 40960406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</si>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</sst>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19</v>
      </c>
      <c r="J1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12</v>
      </c>
      <c r="G1" s="1" t="s">
        <v>15</v>
      </c>
      <c r="H1" s="1" t="s">
        <v>21</v>
      </c>
      <c r="I1" s="1" t="s">
        <v>23</v>
      </c>
      <c r="J1" s="1" t="s">
        <v>25</v>
      </c>
      <c r="K1" s="1" t="s">
        <v>26</v>
      </c>
      <c r="L1" s="1" t="s">
        <v>29</v>
      </c>
      <c r="M1" s="1" t="s">
        <v>22</v>
      </c>
    </row>
    <row r="2">
      <c r="A2" s="3" t="s">
        <v>33</v>
      </c>
      <c r="B2" s="4">
        <v>17.0</v>
      </c>
      <c r="C2" s="5">
        <v>17.0</v>
      </c>
      <c r="D2" s="5">
        <v>32.0</v>
      </c>
      <c r="E2" s="5">
        <v>18.0</v>
      </c>
      <c r="F2" s="5">
        <v>7.0</v>
      </c>
      <c r="G2" s="5">
        <v>12.0</v>
      </c>
      <c r="H2" s="5">
        <v>10.0</v>
      </c>
      <c r="I2" s="5">
        <v>9.0</v>
      </c>
      <c r="J2" s="5">
        <v>14.0</v>
      </c>
      <c r="K2" s="5">
        <v>7.0</v>
      </c>
      <c r="L2" s="5">
        <v>11.0</v>
      </c>
      <c r="M2" s="4">
        <f t="shared" ref="M2:M3" si="1">IF(COUNT(D2:L2)&gt;0, SUM(D2:L2), 0)</f>
        <v>120</v>
      </c>
    </row>
    <row r="3">
      <c r="A3" s="3" t="s">
        <v>43</v>
      </c>
      <c r="B3" s="4">
        <v>23.0</v>
      </c>
      <c r="C3" s="5">
        <v>21.0</v>
      </c>
      <c r="D3" s="5">
        <v>49.0</v>
      </c>
      <c r="E3" s="5">
        <v>35.0</v>
      </c>
      <c r="F3" s="5">
        <v>17.0</v>
      </c>
      <c r="G3" s="5">
        <v>27.0</v>
      </c>
      <c r="H3" s="5">
        <v>28.0</v>
      </c>
      <c r="I3" s="5">
        <v>30.0</v>
      </c>
      <c r="J3" s="5">
        <v>19.0</v>
      </c>
      <c r="K3" s="5">
        <v>16.0</v>
      </c>
      <c r="L3" s="5">
        <v>17.0</v>
      </c>
      <c r="M3" s="4">
        <f t="shared" si="1"/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18</v>
      </c>
      <c r="I1" s="1" t="s">
        <v>22</v>
      </c>
    </row>
    <row r="2">
      <c r="A2" s="3" t="s">
        <v>27</v>
      </c>
      <c r="B2" s="4">
        <v>9.0</v>
      </c>
      <c r="C2" s="5">
        <v>7.0</v>
      </c>
      <c r="D2" s="5">
        <v>26.0</v>
      </c>
      <c r="E2" s="5">
        <v>13.0</v>
      </c>
      <c r="F2" s="5">
        <v>4.0</v>
      </c>
      <c r="G2" s="5">
        <v>15.0</v>
      </c>
      <c r="H2" s="5">
        <v>21.0</v>
      </c>
      <c r="I2" s="4">
        <f>IF(COUNT(D2:H2)&gt;0, SUM(D2:H2), 0)</f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1</v>
      </c>
      <c r="B1" s="2" t="s">
        <v>17</v>
      </c>
      <c r="C1" s="2" t="s">
        <v>20</v>
      </c>
      <c r="D1" s="2" t="s">
        <v>24</v>
      </c>
      <c r="E1" s="2" t="s">
        <v>28</v>
      </c>
      <c r="F1" s="2" t="s">
        <v>30</v>
      </c>
      <c r="G1" s="2" t="s">
        <v>31</v>
      </c>
      <c r="H1" s="2" t="s">
        <v>32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</row>
    <row r="2" ht="27.75" customHeight="1">
      <c r="A2" s="6" t="s">
        <v>42</v>
      </c>
      <c r="B2" s="7">
        <f t="shared" ref="B2:C2" si="1">IFERROR(SUM(B3:B5), 0)</f>
        <v>45</v>
      </c>
      <c r="C2" s="7">
        <f t="shared" si="1"/>
        <v>49</v>
      </c>
      <c r="D2" s="8">
        <f t="shared" ref="D2:D5" si="3">IF(AND(ISNUMBER(C2), C2&gt;0, ISNUMBER(B2)), B2/C2, 0)</f>
        <v>0.9183673469</v>
      </c>
      <c r="E2" s="8">
        <f t="shared" ref="E2:P2" si="2">IFERROR(AVERAGEIF(E3:E5, "&gt;0"), 0)</f>
        <v>0.4803921569</v>
      </c>
      <c r="F2" s="8">
        <f t="shared" si="2"/>
        <v>0</v>
      </c>
      <c r="G2" s="8">
        <f t="shared" si="2"/>
        <v>0.2058823529</v>
      </c>
      <c r="H2" s="8">
        <f t="shared" si="2"/>
        <v>0.380952381</v>
      </c>
      <c r="I2" s="8">
        <f t="shared" si="2"/>
        <v>0.2511671335</v>
      </c>
      <c r="J2" s="8">
        <f t="shared" si="2"/>
        <v>0.4320728291</v>
      </c>
      <c r="K2" s="8">
        <f t="shared" si="2"/>
        <v>0.5049019608</v>
      </c>
      <c r="L2" s="8">
        <f t="shared" si="2"/>
        <v>0.4927637722</v>
      </c>
      <c r="M2" s="8">
        <f t="shared" si="2"/>
        <v>0.5989262372</v>
      </c>
      <c r="N2" s="8">
        <f t="shared" si="2"/>
        <v>0.3509337068</v>
      </c>
      <c r="O2" s="8">
        <f t="shared" si="2"/>
        <v>0.4978991597</v>
      </c>
      <c r="P2" s="8">
        <f t="shared" si="2"/>
        <v>0.4458491545</v>
      </c>
    </row>
    <row r="3" ht="21.75" customHeight="1">
      <c r="A3" s="9" t="s">
        <v>33</v>
      </c>
      <c r="B3" s="10">
        <f>'1ª e 2ª EM'!C2</f>
        <v>17</v>
      </c>
      <c r="C3" s="10">
        <f>'1ª e 2ª EM'!B2</f>
        <v>17</v>
      </c>
      <c r="D3" s="11">
        <f t="shared" si="3"/>
        <v>1</v>
      </c>
      <c r="E3" s="12">
        <f>IF(AND(ISNUMBER(B3), B3&gt;0, ISNUMBER('1ª e 2ª EM'!H2)), ('1ª e 2ª EM'!H2/(B3*2)), 0)</f>
        <v>0.2941176471</v>
      </c>
      <c r="F3" s="13" t="s">
        <v>44</v>
      </c>
      <c r="G3" s="12">
        <f>IF(AND(ISNUMBER(B3), B3&gt;0, ISNUMBER('1ª e 2ª EM'!K2)), ('1ª e 2ª EM'!K2/(B3*2)), 0)</f>
        <v>0.2058823529</v>
      </c>
      <c r="H3" s="13" t="s">
        <v>44</v>
      </c>
      <c r="I3" s="12">
        <f>IF(AND(ISNUMBER(B3), B3&gt;0, ISNUMBER('1ª e 2ª EM'!F2)), ('1ª e 2ª EM'!F2/(B3*2)), 0)</f>
        <v>0.2058823529</v>
      </c>
      <c r="J3" s="12">
        <f>IF(AND(ISNUMBER(B3), B3&gt;0, ISNUMBER('1ª e 2ª EM'!J2)), ('1ª e 2ª EM'!J2/(B3*2)), 0)</f>
        <v>0.4117647059</v>
      </c>
      <c r="K3" s="12">
        <f>IF(AND(ISNUMBER(B3), B3&gt;0, ISNUMBER('1ª e 2ª EM'!I2)), ('1ª e 2ª EM'!I2/(B3*2)), 0)</f>
        <v>0.2647058824</v>
      </c>
      <c r="L3" s="12">
        <f>IF(AND(ISNUMBER(B3), B3&gt;0, ISNUMBER('1ª e 2ª EM'!L2)), ('1ª e 2ª EM'!L2/(B3*2)), 0)</f>
        <v>0.3235294118</v>
      </c>
      <c r="M3" s="12">
        <f>IF(AND(ISNUMBER(B3), B3&gt;0, ISNUMBER('1ª e 2ª EM'!D2)), ('1ª e 2ª EM'!D2/(B3*4)), 0)</f>
        <v>0.4705882353</v>
      </c>
      <c r="N3" s="12">
        <f>IF(AND(ISNUMBER(B3), B3&gt;0, ISNUMBER('1ª e 2ª EM'!E2)), ('1ª e 2ª EM'!E2/(B3*4)), 0)</f>
        <v>0.2647058824</v>
      </c>
      <c r="O3" s="12">
        <f>IF(AND(ISNUMBER(B3), B3&gt;0, ISNUMBER('1ª e 2ª EM'!G2)), ('1ª e 2ª EM'!G2/(B3*2)), 0)</f>
        <v>0.3529411765</v>
      </c>
      <c r="P3" s="14">
        <f t="shared" ref="P3:P5" si="4">IFERROR(AVERAGEIF(E3:O3, "&gt;0"), 0)</f>
        <v>0.3104575163</v>
      </c>
    </row>
    <row r="4" ht="21.75" customHeight="1">
      <c r="A4" s="9" t="s">
        <v>43</v>
      </c>
      <c r="B4" s="10">
        <f>'1ª e 2ª EM'!C3</f>
        <v>21</v>
      </c>
      <c r="C4" s="10">
        <f>'1ª e 2ª EM'!B3</f>
        <v>23</v>
      </c>
      <c r="D4" s="11">
        <f t="shared" si="3"/>
        <v>0.9130434783</v>
      </c>
      <c r="E4" s="12">
        <f>IF(AND(ISNUMBER(B4), B4&gt;0, ISNUMBER('1ª e 2ª EM'!H3)), ('1ª e 2ª EM'!H3/(B4*2)), 0)</f>
        <v>0.6666666667</v>
      </c>
      <c r="F4" s="13" t="s">
        <v>44</v>
      </c>
      <c r="G4" s="13" t="s">
        <v>44</v>
      </c>
      <c r="H4" s="12">
        <f>IF(AND(ISNUMBER(B4), B4&gt;0, ISNUMBER('1ª e 2ª EM'!K3)), ('1ª e 2ª EM'!K3/(B4*2)), 0)</f>
        <v>0.380952381</v>
      </c>
      <c r="I4" s="12">
        <f>IF(AND(ISNUMBER(B4), B4&gt;0, ISNUMBER('1ª e 2ª EM'!F3)), ('1ª e 2ª EM'!F3/(B4*2)), 0)</f>
        <v>0.4047619048</v>
      </c>
      <c r="J4" s="12">
        <f>IF(AND(ISNUMBER(B4), B4&gt;0, ISNUMBER('1ª e 2ª EM'!J3)), ('1ª e 2ª EM'!J3/(B4*2)), 0)</f>
        <v>0.4523809524</v>
      </c>
      <c r="K4" s="12">
        <f>IF(AND(ISNUMBER(B4), B4&gt;0, ISNUMBER('1ª e 2ª EM'!I3)), ('1ª e 2ª EM'!I3/(B4*2)), 0)</f>
        <v>0.7142857143</v>
      </c>
      <c r="L4" s="12">
        <f>IF(AND(ISNUMBER(B4), B4&gt;0, ISNUMBER('1ª e 2ª EM'!L3)), ('1ª e 2ª EM'!L3/(B4*2)), 0)</f>
        <v>0.4047619048</v>
      </c>
      <c r="M4" s="12">
        <f>IF(AND(ISNUMBER(B4), B4&gt;0, ISNUMBER('1ª e 2ª EM'!D3)), ('1ª e 2ª EM'!D3/(B4*4)), 0)</f>
        <v>0.5833333333</v>
      </c>
      <c r="N4" s="12">
        <f>IF(AND(ISNUMBER(B4), B4&gt;0, ISNUMBER('1ª e 2ª EM'!E3)), ('1ª e 2ª EM'!E3/(B4*4)), 0)</f>
        <v>0.4166666667</v>
      </c>
      <c r="O4" s="12">
        <f>IF(AND(ISNUMBER(B4), B4&gt;0, ISNUMBER('1ª e 2ª EM'!G3)), ('1ª e 2ª EM'!G3/(B4*2)), 0)</f>
        <v>0.6428571429</v>
      </c>
      <c r="P4" s="14">
        <f t="shared" si="4"/>
        <v>0.5185185185</v>
      </c>
    </row>
    <row r="5" ht="21.75" customHeight="1">
      <c r="A5" s="9" t="s">
        <v>27</v>
      </c>
      <c r="B5" s="10">
        <f>'3ª EM'!C2</f>
        <v>7</v>
      </c>
      <c r="C5" s="10">
        <f>'3ª EM'!B2</f>
        <v>9</v>
      </c>
      <c r="D5" s="11">
        <f t="shared" si="3"/>
        <v>0.7777777778</v>
      </c>
      <c r="E5" s="13" t="s">
        <v>44</v>
      </c>
      <c r="F5" s="13" t="s">
        <v>44</v>
      </c>
      <c r="G5" s="13" t="s">
        <v>44</v>
      </c>
      <c r="H5" s="13" t="s">
        <v>44</v>
      </c>
      <c r="I5" s="12">
        <f>IF(AND(ISNUMBER(B5), B5&gt;0, ISNUMBER('3ª EM'!F2)), ('3ª EM'!F2/(B5*4)), 0)</f>
        <v>0.1428571429</v>
      </c>
      <c r="J5" s="13" t="s">
        <v>44</v>
      </c>
      <c r="K5" s="12">
        <f>IF(AND(ISNUMBER(B5), B5&gt;0, ISNUMBER('3ª EM'!G2)), ('3ª EM'!G2/(B5*4)), 0)</f>
        <v>0.5357142857</v>
      </c>
      <c r="L5" s="12">
        <f>IF(AND(ISNUMBER(B5), B5&gt;0, ISNUMBER('3ª EM'!H2)), ('3ª EM'!H2/(B5*4)), 0)</f>
        <v>0.75</v>
      </c>
      <c r="M5" s="12">
        <f>IF(AND(ISNUMBER(B5), B5&gt;0, ISNUMBER('3ª EM'!D2)), ('3ª EM'!D2/(B5*5)), 0)</f>
        <v>0.7428571429</v>
      </c>
      <c r="N5" s="12">
        <f>IF(AND(ISNUMBER(B5), B5&gt;0, ISNUMBER('3ª EM'!E2)), ('3ª EM'!E2/(B5*5)), 0)</f>
        <v>0.3714285714</v>
      </c>
      <c r="O5" s="13" t="s">
        <v>44</v>
      </c>
      <c r="P5" s="14">
        <f t="shared" si="4"/>
        <v>0.5085714286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5">
    <cfRule type="cellIs" dxfId="0" priority="1" stopIfTrue="1" operator="between">
      <formula>0.50001</formula>
      <formula>1</formula>
    </cfRule>
  </conditionalFormatting>
  <conditionalFormatting sqref="E3:P5">
    <cfRule type="cellIs" dxfId="1" priority="2" stopIfTrue="1" operator="between">
      <formula>0.3</formula>
      <formula>0.5</formula>
    </cfRule>
  </conditionalFormatting>
  <conditionalFormatting sqref="E3:P5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