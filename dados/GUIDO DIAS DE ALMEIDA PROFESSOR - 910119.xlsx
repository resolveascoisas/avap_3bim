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<sst xmlns="http://schemas.openxmlformats.org/spreadsheetml/2006/main" count="129" uniqueCount="54">
  <si>
    <t>6º ao 9º EFAF</t>
  </si>
  <si>
    <t>1ª/2ª EM</t>
  </si>
  <si>
    <t>3ª EM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</si>
  <si>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</si>
  <si>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</si>
  <si>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</si>
  <si>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</si>
  <si>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</si>
  <si>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</si>
  <si>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</si>
  <si>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Língua Portuguesa (Questões 1, 2, 3, 4, 5)</t>
  </si>
  <si>
    <t>Acertos em Geografia (Questões 18, 19, 20)</t>
  </si>
  <si>
    <t>Acertos em Matemática (Questões 6, 7, 8, 9, 10)</t>
  </si>
  <si>
    <t>Total de Acertos</t>
  </si>
  <si>
    <t>Acertos em Física (Questões 11, 12, 13, 14)</t>
  </si>
  <si>
    <t>Acertos em História (Questões 15, 16, 17, 18)</t>
  </si>
  <si>
    <t>6° ANO B INTEGRAL 9H ANUAL - 41014786</t>
  </si>
  <si>
    <t>Acertos em Língua Inglesa (Questões 19, 20, 21, 22)</t>
  </si>
  <si>
    <t>3ª SERIE A NOITE ANUAL - 40950523</t>
  </si>
  <si>
    <t>Acertos em Física (Questões 9, 10)</t>
  </si>
  <si>
    <t>Turma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</si>
  <si>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</si>
  <si>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</si>
  <si>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</si>
  <si>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</si>
  <si>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</si>
  <si>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</si>
  <si>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Alunos (Pres.)</t>
  </si>
  <si>
    <t>Total Matric.</t>
  </si>
  <si>
    <t>Part. (%)</t>
  </si>
  <si>
    <t>Biologia</t>
  </si>
  <si>
    <t>Ciências</t>
  </si>
  <si>
    <t>3ª SERIE B NOITE ANUAL - 40950522</t>
  </si>
  <si>
    <t>Filosofia</t>
  </si>
  <si>
    <t>6º ANO A INTEGRAL 9H ANUAL - 40980354</t>
  </si>
  <si>
    <t>Sociologia</t>
  </si>
  <si>
    <t>Física</t>
  </si>
  <si>
    <t>Geografia</t>
  </si>
  <si>
    <t>História</t>
  </si>
  <si>
    <t>Língua Inglesa</t>
  </si>
  <si>
    <t>7° ANO A INTEGRAL 9H ANUAL - 40934405</t>
  </si>
  <si>
    <t>Língua Portuguesa</t>
  </si>
  <si>
    <t>Matemática</t>
  </si>
  <si>
    <t>2ª SERIE A NOITE ANUAL - 41327562</t>
  </si>
  <si>
    <t>Química</t>
  </si>
  <si>
    <t>Média Geral</t>
  </si>
  <si>
    <t>8º ANO A INTEGRAL 9H ANUAL - 40934409</t>
  </si>
  <si>
    <t>MÉDIA GLOBAL DA ESCOLA</t>
  </si>
  <si>
    <t>8º ANO B INTEGRAL 9H ANUAL - 40934410</t>
  </si>
  <si>
    <t>9º ANO A INTEGRAL 9H ANUAL - 40934407</t>
  </si>
  <si>
    <t>9º ANO B INTEGRAL 9H ANUAL - 40934408</t>
  </si>
  <si>
    <t>9º ANO C INTEGRAL 9H ANUAL - 40934406</t>
  </si>
  <si>
    <t>2ª SERIE B NOITE ANUAL - 41399886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</si>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</sst>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13</v>
      </c>
    </row>
    <row r="2">
      <c r="A2" s="2" t="s">
        <v>16</v>
      </c>
      <c r="B2" s="3">
        <v>28.0</v>
      </c>
      <c r="C2" s="3">
        <v>28.0</v>
      </c>
      <c r="D2" s="3">
        <v>98.0</v>
      </c>
      <c r="E2" s="3">
        <v>64.0</v>
      </c>
      <c r="F2" s="3">
        <v>72.0</v>
      </c>
      <c r="G2" s="3">
        <v>50.0</v>
      </c>
      <c r="H2" s="3">
        <v>21.0</v>
      </c>
      <c r="I2" s="3">
        <v>63.0</v>
      </c>
      <c r="J2" s="4">
        <f t="shared" ref="J2:J9" si="1">IF(COUNT(D2:I2)&gt;0, SUM(D2:I2), 0)</f>
        <v>368</v>
      </c>
    </row>
    <row r="3">
      <c r="A3" s="2" t="s">
        <v>34</v>
      </c>
      <c r="B3" s="3">
        <v>30.0</v>
      </c>
      <c r="C3" s="3">
        <v>27.0</v>
      </c>
      <c r="D3" s="3">
        <v>65.0</v>
      </c>
      <c r="E3" s="3">
        <v>49.0</v>
      </c>
      <c r="F3" s="3">
        <v>56.0</v>
      </c>
      <c r="G3" s="3">
        <v>36.0</v>
      </c>
      <c r="H3" s="3">
        <v>16.0</v>
      </c>
      <c r="I3" s="3">
        <v>55.0</v>
      </c>
      <c r="J3" s="4">
        <f t="shared" si="1"/>
        <v>277</v>
      </c>
    </row>
    <row r="4">
      <c r="A4" s="2" t="s">
        <v>40</v>
      </c>
      <c r="B4" s="3">
        <v>30.0</v>
      </c>
      <c r="C4" s="3">
        <v>26.0</v>
      </c>
      <c r="D4" s="3">
        <v>50.0</v>
      </c>
      <c r="E4" s="3">
        <v>42.0</v>
      </c>
      <c r="F4" s="3">
        <v>44.0</v>
      </c>
      <c r="G4" s="3">
        <v>56.0</v>
      </c>
      <c r="H4" s="3">
        <v>44.0</v>
      </c>
      <c r="I4" s="3">
        <v>55.0</v>
      </c>
      <c r="J4" s="4">
        <f t="shared" si="1"/>
        <v>291</v>
      </c>
    </row>
    <row r="5">
      <c r="A5" s="2" t="s">
        <v>46</v>
      </c>
      <c r="B5" s="3">
        <v>29.0</v>
      </c>
      <c r="C5" s="3">
        <v>26.0</v>
      </c>
      <c r="D5" s="3">
        <v>84.0</v>
      </c>
      <c r="E5" s="3">
        <v>35.0</v>
      </c>
      <c r="F5" s="3">
        <v>49.0</v>
      </c>
      <c r="G5" s="3">
        <v>58.0</v>
      </c>
      <c r="H5" s="3">
        <v>38.0</v>
      </c>
      <c r="I5" s="3">
        <v>25.0</v>
      </c>
      <c r="J5" s="4">
        <f t="shared" si="1"/>
        <v>289</v>
      </c>
    </row>
    <row r="6">
      <c r="A6" s="2" t="s">
        <v>48</v>
      </c>
      <c r="B6" s="3">
        <v>29.0</v>
      </c>
      <c r="C6" s="3">
        <v>29.0</v>
      </c>
      <c r="D6" s="3">
        <v>69.0</v>
      </c>
      <c r="E6" s="3">
        <v>41.0</v>
      </c>
      <c r="F6" s="3">
        <v>58.0</v>
      </c>
      <c r="G6" s="3">
        <v>43.0</v>
      </c>
      <c r="H6" s="3">
        <v>39.0</v>
      </c>
      <c r="I6" s="3">
        <v>31.0</v>
      </c>
      <c r="J6" s="4">
        <f t="shared" si="1"/>
        <v>281</v>
      </c>
    </row>
    <row r="7">
      <c r="A7" s="2" t="s">
        <v>49</v>
      </c>
      <c r="B7" s="3">
        <v>34.0</v>
      </c>
      <c r="C7" s="3">
        <v>33.0</v>
      </c>
      <c r="D7" s="3">
        <v>93.0</v>
      </c>
      <c r="E7" s="3">
        <v>56.0</v>
      </c>
      <c r="F7" s="3">
        <v>78.0</v>
      </c>
      <c r="G7" s="3">
        <v>89.0</v>
      </c>
      <c r="H7" s="3">
        <v>41.0</v>
      </c>
      <c r="I7" s="3">
        <v>58.0</v>
      </c>
      <c r="J7" s="4">
        <f t="shared" si="1"/>
        <v>415</v>
      </c>
    </row>
    <row r="8">
      <c r="A8" s="2" t="s">
        <v>50</v>
      </c>
      <c r="B8" s="3">
        <v>31.0</v>
      </c>
      <c r="C8" s="3">
        <v>30.0</v>
      </c>
      <c r="D8" s="3">
        <v>83.0</v>
      </c>
      <c r="E8" s="3">
        <v>51.0</v>
      </c>
      <c r="F8" s="3">
        <v>46.0</v>
      </c>
      <c r="G8" s="3">
        <v>48.0</v>
      </c>
      <c r="H8" s="3">
        <v>42.0</v>
      </c>
      <c r="I8" s="3">
        <v>46.0</v>
      </c>
      <c r="J8" s="4">
        <f t="shared" si="1"/>
        <v>316</v>
      </c>
    </row>
    <row r="9">
      <c r="A9" s="2" t="s">
        <v>51</v>
      </c>
      <c r="B9" s="3">
        <v>15.0</v>
      </c>
      <c r="C9" s="3">
        <v>13.0</v>
      </c>
      <c r="D9" s="3">
        <v>29.0</v>
      </c>
      <c r="E9" s="3">
        <v>16.0</v>
      </c>
      <c r="F9" s="3">
        <v>16.0</v>
      </c>
      <c r="G9" s="3">
        <v>17.0</v>
      </c>
      <c r="H9" s="3">
        <v>16.0</v>
      </c>
      <c r="I9" s="3">
        <v>14.0</v>
      </c>
      <c r="J9" s="4">
        <f t="shared" si="1"/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2" width="12.86"/>
    <col customWidth="1" min="3" max="3" width="12.71"/>
    <col customWidth="1" min="4" max="13" width="16.0"/>
    <col customWidth="1" min="14" max="26" width="8.71"/>
  </cols>
  <sheetData>
    <row r="1" ht="64.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19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13</v>
      </c>
    </row>
    <row r="2">
      <c r="A2" s="2" t="s">
        <v>43</v>
      </c>
      <c r="B2" s="4">
        <v>41.0</v>
      </c>
      <c r="C2" s="3">
        <v>30.0</v>
      </c>
      <c r="D2" s="3">
        <v>92.0</v>
      </c>
      <c r="E2" s="3">
        <v>73.0</v>
      </c>
      <c r="F2" s="3">
        <v>31.0</v>
      </c>
      <c r="G2" s="3">
        <v>37.0</v>
      </c>
      <c r="H2" s="3">
        <v>40.0</v>
      </c>
      <c r="I2" s="3">
        <v>50.0</v>
      </c>
      <c r="J2" s="3">
        <v>33.0</v>
      </c>
      <c r="K2" s="3">
        <v>42.0</v>
      </c>
      <c r="L2" s="3">
        <v>39.0</v>
      </c>
      <c r="M2" s="4">
        <f t="shared" ref="M2:M3" si="1">IF(COUNT(D2:L2)&gt;0, SUM(D2:L2), 0)</f>
        <v>437</v>
      </c>
    </row>
    <row r="3">
      <c r="A3" s="2" t="s">
        <v>52</v>
      </c>
      <c r="B3" s="4">
        <v>39.0</v>
      </c>
      <c r="C3" s="3">
        <v>37.0</v>
      </c>
      <c r="D3" s="3">
        <v>142.0</v>
      </c>
      <c r="E3" s="3">
        <v>127.0</v>
      </c>
      <c r="F3" s="3">
        <v>45.0</v>
      </c>
      <c r="G3" s="3">
        <v>58.0</v>
      </c>
      <c r="H3" s="3">
        <v>67.0</v>
      </c>
      <c r="I3" s="3">
        <v>71.0</v>
      </c>
      <c r="J3" s="3">
        <v>51.0</v>
      </c>
      <c r="K3" s="3">
        <v>59.0</v>
      </c>
      <c r="L3" s="3">
        <v>50.0</v>
      </c>
      <c r="M3" s="4">
        <f t="shared" si="1"/>
        <v>670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2</v>
      </c>
      <c r="B1" s="1" t="s">
        <v>3</v>
      </c>
      <c r="C1" s="1" t="s">
        <v>4</v>
      </c>
      <c r="D1" s="1" t="s">
        <v>10</v>
      </c>
      <c r="E1" s="1" t="s">
        <v>12</v>
      </c>
      <c r="F1" s="1" t="s">
        <v>14</v>
      </c>
      <c r="G1" s="1" t="s">
        <v>15</v>
      </c>
      <c r="H1" s="1" t="s">
        <v>17</v>
      </c>
      <c r="I1" s="1" t="s">
        <v>13</v>
      </c>
    </row>
    <row r="2">
      <c r="A2" s="2" t="s">
        <v>18</v>
      </c>
      <c r="B2" s="4">
        <v>37.0</v>
      </c>
      <c r="C2" s="3">
        <v>29.0</v>
      </c>
      <c r="D2" s="3">
        <v>68.0</v>
      </c>
      <c r="E2" s="3">
        <v>43.0</v>
      </c>
      <c r="F2" s="3">
        <v>32.0</v>
      </c>
      <c r="G2" s="3">
        <v>37.0</v>
      </c>
      <c r="H2" s="3">
        <v>32.0</v>
      </c>
      <c r="I2" s="4">
        <f t="shared" ref="I2:I3" si="1">IF(COUNT(D2:H2)&gt;0, SUM(D2:H2), 0)</f>
        <v>212</v>
      </c>
    </row>
    <row r="3">
      <c r="A3" s="2" t="s">
        <v>32</v>
      </c>
      <c r="B3" s="4">
        <v>37.0</v>
      </c>
      <c r="C3" s="3">
        <v>34.0</v>
      </c>
      <c r="D3" s="3">
        <v>108.0</v>
      </c>
      <c r="E3" s="3">
        <v>76.0</v>
      </c>
      <c r="F3" s="3">
        <v>30.0</v>
      </c>
      <c r="G3" s="3">
        <v>80.0</v>
      </c>
      <c r="H3" s="3">
        <v>71.0</v>
      </c>
      <c r="I3" s="4">
        <f t="shared" si="1"/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20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33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41</v>
      </c>
      <c r="N1" s="5" t="s">
        <v>42</v>
      </c>
      <c r="O1" s="5" t="s">
        <v>44</v>
      </c>
      <c r="P1" s="5" t="s">
        <v>45</v>
      </c>
    </row>
    <row r="2" ht="27.75" customHeight="1">
      <c r="A2" s="6" t="s">
        <v>47</v>
      </c>
      <c r="B2" s="7">
        <f t="shared" ref="B2:C2" si="1">IFERROR(SUM(B3:B14), 0)</f>
        <v>342</v>
      </c>
      <c r="C2" s="7">
        <f t="shared" si="1"/>
        <v>380</v>
      </c>
      <c r="D2" s="8">
        <f t="shared" ref="D2:D14" si="3">IF(AND(ISNUMBER(C2), C2&gt;0, ISNUMBER(B2)), B2/C2, 0)</f>
        <v>0.9</v>
      </c>
      <c r="E2" s="8">
        <f t="shared" ref="E2:P2" si="2">IFERROR(AVERAGEIF(E3:E14, "&gt;0"), 0)</f>
        <v>0.786036036</v>
      </c>
      <c r="F2" s="8">
        <f t="shared" si="2"/>
        <v>0.6079618179</v>
      </c>
      <c r="G2" s="8">
        <f t="shared" si="2"/>
        <v>0</v>
      </c>
      <c r="H2" s="8">
        <f t="shared" si="2"/>
        <v>0.7486486486</v>
      </c>
      <c r="I2" s="8">
        <f t="shared" si="2"/>
        <v>0.4053062698</v>
      </c>
      <c r="J2" s="8">
        <f t="shared" si="2"/>
        <v>0.5506108456</v>
      </c>
      <c r="K2" s="8">
        <f t="shared" si="2"/>
        <v>0.4948455727</v>
      </c>
      <c r="L2" s="8">
        <f t="shared" si="2"/>
        <v>0.6033598432</v>
      </c>
      <c r="M2" s="8">
        <f t="shared" si="2"/>
        <v>0.6787025972</v>
      </c>
      <c r="N2" s="8">
        <f t="shared" si="2"/>
        <v>0.4571626573</v>
      </c>
      <c r="O2" s="8">
        <f t="shared" si="2"/>
        <v>0.7002252252</v>
      </c>
      <c r="P2" s="8">
        <f t="shared" si="2"/>
        <v>0.5513608024</v>
      </c>
    </row>
    <row r="3" ht="21.75" customHeight="1">
      <c r="A3" s="9" t="s">
        <v>16</v>
      </c>
      <c r="B3" s="10">
        <f>'6º ao 9º EFAF'!C2</f>
        <v>28</v>
      </c>
      <c r="C3" s="10">
        <f>'6º ao 9º EFAF'!B2</f>
        <v>28</v>
      </c>
      <c r="D3" s="11">
        <f t="shared" si="3"/>
        <v>1</v>
      </c>
      <c r="E3" s="12" t="s">
        <v>53</v>
      </c>
      <c r="F3" s="13">
        <f>IF(AND(ISNUMBER(B3), B3&gt;0, ISNUMBER('6º ao 9º EFAF'!G2)), ('6º ao 9º EFAF'!G2/(B3*3)), 0)</f>
        <v>0.5952380952</v>
      </c>
      <c r="G3" s="12" t="s">
        <v>53</v>
      </c>
      <c r="H3" s="12" t="s">
        <v>53</v>
      </c>
      <c r="I3" s="12" t="s">
        <v>53</v>
      </c>
      <c r="J3" s="13">
        <f>IF(AND(ISNUMBER(B3), B3&gt;0, ISNUMBER('6º ao 9º EFAF'!I2)), ('6º ao 9º EFAF'!I2/(B3*3)), 0)</f>
        <v>0.75</v>
      </c>
      <c r="K3" s="13">
        <f>IF(AND(ISNUMBER(B3), B3&gt;0, ISNUMBER('6º ao 9º EFAF'!H2)), ('6º ao 9º EFAF'!H2/(B3*3)), 0)</f>
        <v>0.25</v>
      </c>
      <c r="L3" s="13">
        <f>IF(AND(ISNUMBER(B3), B3&gt;0, ISNUMBER('6º ao 9º EFAF'!F2)), ('6º ao 9º EFAF'!F2/(B3*3)), 0)</f>
        <v>0.8571428571</v>
      </c>
      <c r="M3" s="13">
        <f>IF(AND(ISNUMBER(B3), B3&gt;0, ISNUMBER('6º ao 9º EFAF'!D2)), ('6º ao 9º EFAF'!D2/(B3*4)), 0)</f>
        <v>0.875</v>
      </c>
      <c r="N3" s="13">
        <f>IF(AND(ISNUMBER(B3), B3&gt;0, ISNUMBER('6º ao 9º EFAF'!E2)), ('6º ao 9º EFAF'!E2/(B3*4)), 0)</f>
        <v>0.5714285714</v>
      </c>
      <c r="O3" s="12" t="s">
        <v>53</v>
      </c>
      <c r="P3" s="14">
        <f t="shared" ref="P3:P14" si="4">IFERROR(AVERAGEIF(E3:O3, "&gt;0"), 0)</f>
        <v>0.6498015873</v>
      </c>
    </row>
    <row r="4" ht="21.75" customHeight="1">
      <c r="A4" s="9" t="s">
        <v>34</v>
      </c>
      <c r="B4" s="10">
        <f>'6º ao 9º EFAF'!C3</f>
        <v>27</v>
      </c>
      <c r="C4" s="10">
        <f>'6º ao 9º EFAF'!B3</f>
        <v>30</v>
      </c>
      <c r="D4" s="11">
        <f t="shared" si="3"/>
        <v>0.9</v>
      </c>
      <c r="E4" s="12" t="s">
        <v>53</v>
      </c>
      <c r="F4" s="13">
        <f>IF(AND(ISNUMBER(B4), B4&gt;0, ISNUMBER('6º ao 9º EFAF'!G3)), ('6º ao 9º EFAF'!G3/(B4*3)), 0)</f>
        <v>0.4444444444</v>
      </c>
      <c r="G4" s="12" t="s">
        <v>53</v>
      </c>
      <c r="H4" s="12" t="s">
        <v>53</v>
      </c>
      <c r="I4" s="12" t="s">
        <v>53</v>
      </c>
      <c r="J4" s="13">
        <f>IF(AND(ISNUMBER(B4), B4&gt;0, ISNUMBER('6º ao 9º EFAF'!I3)), ('6º ao 9º EFAF'!I3/(B4*3)), 0)</f>
        <v>0.6790123457</v>
      </c>
      <c r="K4" s="13">
        <f>IF(AND(ISNUMBER(B4), B4&gt;0, ISNUMBER('6º ao 9º EFAF'!H3)), ('6º ao 9º EFAF'!H3/(B4*3)), 0)</f>
        <v>0.1975308642</v>
      </c>
      <c r="L4" s="13">
        <f>IF(AND(ISNUMBER(B4), B4&gt;0, ISNUMBER('6º ao 9º EFAF'!F3)), ('6º ao 9º EFAF'!F3/(B4*3)), 0)</f>
        <v>0.6913580247</v>
      </c>
      <c r="M4" s="13">
        <f>IF(AND(ISNUMBER(B4), B4&gt;0, ISNUMBER('6º ao 9º EFAF'!D3)), ('6º ao 9º EFAF'!D3/(B4*4)), 0)</f>
        <v>0.6018518519</v>
      </c>
      <c r="N4" s="13">
        <f>IF(AND(ISNUMBER(B4), B4&gt;0, ISNUMBER('6º ao 9º EFAF'!E3)), ('6º ao 9º EFAF'!E3/(B4*4)), 0)</f>
        <v>0.4537037037</v>
      </c>
      <c r="O4" s="12" t="s">
        <v>53</v>
      </c>
      <c r="P4" s="14">
        <f t="shared" si="4"/>
        <v>0.5113168724</v>
      </c>
    </row>
    <row r="5" ht="21.75" customHeight="1">
      <c r="A5" s="9" t="s">
        <v>40</v>
      </c>
      <c r="B5" s="10">
        <f>'6º ao 9º EFAF'!C4</f>
        <v>26</v>
      </c>
      <c r="C5" s="10">
        <f>'6º ao 9º EFAF'!B4</f>
        <v>30</v>
      </c>
      <c r="D5" s="11">
        <f t="shared" si="3"/>
        <v>0.8666666667</v>
      </c>
      <c r="E5" s="12" t="s">
        <v>53</v>
      </c>
      <c r="F5" s="13">
        <f>IF(AND(ISNUMBER(B5), B5&gt;0, ISNUMBER('6º ao 9º EFAF'!G4)), ('6º ao 9º EFAF'!G4/(B5*3)), 0)</f>
        <v>0.7179487179</v>
      </c>
      <c r="G5" s="12" t="s">
        <v>53</v>
      </c>
      <c r="H5" s="12" t="s">
        <v>53</v>
      </c>
      <c r="I5" s="12" t="s">
        <v>53</v>
      </c>
      <c r="J5" s="13">
        <f>IF(AND(ISNUMBER(B5), B5&gt;0, ISNUMBER('6º ao 9º EFAF'!I4)), ('6º ao 9º EFAF'!I4/(B5*3)), 0)</f>
        <v>0.7051282051</v>
      </c>
      <c r="K5" s="13">
        <f>IF(AND(ISNUMBER(B5), B5&gt;0, ISNUMBER('6º ao 9º EFAF'!H4)), ('6º ao 9º EFAF'!H4/(B5*3)), 0)</f>
        <v>0.5641025641</v>
      </c>
      <c r="L5" s="13">
        <f>IF(AND(ISNUMBER(B5), B5&gt;0, ISNUMBER('6º ao 9º EFAF'!F4)), ('6º ao 9º EFAF'!F4/(B5*3)), 0)</f>
        <v>0.5641025641</v>
      </c>
      <c r="M5" s="13">
        <f>IF(AND(ISNUMBER(B5), B5&gt;0, ISNUMBER('6º ao 9º EFAF'!D4)), ('6º ao 9º EFAF'!D4/(B5*4)), 0)</f>
        <v>0.4807692308</v>
      </c>
      <c r="N5" s="13">
        <f>IF(AND(ISNUMBER(B5), B5&gt;0, ISNUMBER('6º ao 9º EFAF'!E4)), ('6º ao 9º EFAF'!E4/(B5*4)), 0)</f>
        <v>0.4038461538</v>
      </c>
      <c r="O5" s="12" t="s">
        <v>53</v>
      </c>
      <c r="P5" s="14">
        <f t="shared" si="4"/>
        <v>0.5726495726</v>
      </c>
    </row>
    <row r="6" ht="21.75" customHeight="1">
      <c r="A6" s="9" t="s">
        <v>46</v>
      </c>
      <c r="B6" s="10">
        <f>'6º ao 9º EFAF'!C5</f>
        <v>26</v>
      </c>
      <c r="C6" s="10">
        <f>'6º ao 9º EFAF'!B5</f>
        <v>29</v>
      </c>
      <c r="D6" s="11">
        <f t="shared" si="3"/>
        <v>0.8965517241</v>
      </c>
      <c r="E6" s="12" t="s">
        <v>53</v>
      </c>
      <c r="F6" s="13">
        <f>IF(AND(ISNUMBER(B6), B6&gt;0, ISNUMBER('6º ao 9º EFAF'!G5)), ('6º ao 9º EFAF'!G5/(B6*3)), 0)</f>
        <v>0.7435897436</v>
      </c>
      <c r="G6" s="12" t="s">
        <v>53</v>
      </c>
      <c r="H6" s="12" t="s">
        <v>53</v>
      </c>
      <c r="I6" s="12" t="s">
        <v>53</v>
      </c>
      <c r="J6" s="13">
        <f>IF(AND(ISNUMBER(B6), B6&gt;0, ISNUMBER('6º ao 9º EFAF'!I5)), ('6º ao 9º EFAF'!I5/(B6*3)), 0)</f>
        <v>0.3205128205</v>
      </c>
      <c r="K6" s="13">
        <f>IF(AND(ISNUMBER(B6), B6&gt;0, ISNUMBER('6º ao 9º EFAF'!H5)), ('6º ao 9º EFAF'!H5/(B6*3)), 0)</f>
        <v>0.4871794872</v>
      </c>
      <c r="L6" s="13">
        <f>IF(AND(ISNUMBER(B6), B6&gt;0, ISNUMBER('6º ao 9º EFAF'!F5)), ('6º ao 9º EFAF'!F5/(B6*3)), 0)</f>
        <v>0.6282051282</v>
      </c>
      <c r="M6" s="13">
        <f>IF(AND(ISNUMBER(B6), B6&gt;0, ISNUMBER('6º ao 9º EFAF'!D5)), ('6º ao 9º EFAF'!D5/(B6*4)), 0)</f>
        <v>0.8076923077</v>
      </c>
      <c r="N6" s="13">
        <f>IF(AND(ISNUMBER(B6), B6&gt;0, ISNUMBER('6º ao 9º EFAF'!E5)), ('6º ao 9º EFAF'!E5/(B6*4)), 0)</f>
        <v>0.3365384615</v>
      </c>
      <c r="O6" s="12" t="s">
        <v>53</v>
      </c>
      <c r="P6" s="14">
        <f t="shared" si="4"/>
        <v>0.5539529915</v>
      </c>
    </row>
    <row r="7" ht="21.75" customHeight="1">
      <c r="A7" s="9" t="s">
        <v>48</v>
      </c>
      <c r="B7" s="10">
        <f>'6º ao 9º EFAF'!C6</f>
        <v>29</v>
      </c>
      <c r="C7" s="10">
        <f>'6º ao 9º EFAF'!B6</f>
        <v>29</v>
      </c>
      <c r="D7" s="11">
        <f t="shared" si="3"/>
        <v>1</v>
      </c>
      <c r="E7" s="12" t="s">
        <v>53</v>
      </c>
      <c r="F7" s="13">
        <f>IF(AND(ISNUMBER(B7), B7&gt;0, ISNUMBER('6º ao 9º EFAF'!G6)), ('6º ao 9º EFAF'!G6/(B7*3)), 0)</f>
        <v>0.4942528736</v>
      </c>
      <c r="G7" s="12" t="s">
        <v>53</v>
      </c>
      <c r="H7" s="12" t="s">
        <v>53</v>
      </c>
      <c r="I7" s="12" t="s">
        <v>53</v>
      </c>
      <c r="J7" s="13">
        <f>IF(AND(ISNUMBER(B7), B7&gt;0, ISNUMBER('6º ao 9º EFAF'!I6)), ('6º ao 9º EFAF'!I6/(B7*3)), 0)</f>
        <v>0.3563218391</v>
      </c>
      <c r="K7" s="13">
        <f>IF(AND(ISNUMBER(B7), B7&gt;0, ISNUMBER('6º ao 9º EFAF'!H6)), ('6º ao 9º EFAF'!H6/(B7*3)), 0)</f>
        <v>0.4482758621</v>
      </c>
      <c r="L7" s="13">
        <f>IF(AND(ISNUMBER(B7), B7&gt;0, ISNUMBER('6º ao 9º EFAF'!F6)), ('6º ao 9º EFAF'!F6/(B7*3)), 0)</f>
        <v>0.6666666667</v>
      </c>
      <c r="M7" s="13">
        <f>IF(AND(ISNUMBER(B7), B7&gt;0, ISNUMBER('6º ao 9º EFAF'!D6)), ('6º ao 9º EFAF'!D6/(B7*4)), 0)</f>
        <v>0.5948275862</v>
      </c>
      <c r="N7" s="13">
        <f>IF(AND(ISNUMBER(B7), B7&gt;0, ISNUMBER('6º ao 9º EFAF'!E6)), ('6º ao 9º EFAF'!E6/(B7*4)), 0)</f>
        <v>0.3534482759</v>
      </c>
      <c r="O7" s="12" t="s">
        <v>53</v>
      </c>
      <c r="P7" s="14">
        <f t="shared" si="4"/>
        <v>0.4856321839</v>
      </c>
    </row>
    <row r="8" ht="21.75" customHeight="1">
      <c r="A8" s="9" t="s">
        <v>49</v>
      </c>
      <c r="B8" s="10">
        <f>'6º ao 9º EFAF'!C7</f>
        <v>33</v>
      </c>
      <c r="C8" s="10">
        <f>'6º ao 9º EFAF'!B7</f>
        <v>34</v>
      </c>
      <c r="D8" s="11">
        <f t="shared" si="3"/>
        <v>0.9705882353</v>
      </c>
      <c r="E8" s="12" t="s">
        <v>53</v>
      </c>
      <c r="F8" s="13">
        <f>IF(AND(ISNUMBER(B8), B8&gt;0, ISNUMBER('6º ao 9º EFAF'!G7)), ('6º ao 9º EFAF'!G7/(B8*3)), 0)</f>
        <v>0.898989899</v>
      </c>
      <c r="G8" s="12" t="s">
        <v>53</v>
      </c>
      <c r="H8" s="12" t="s">
        <v>53</v>
      </c>
      <c r="I8" s="12" t="s">
        <v>53</v>
      </c>
      <c r="J8" s="13">
        <f>IF(AND(ISNUMBER(B8), B8&gt;0, ISNUMBER('6º ao 9º EFAF'!I7)), ('6º ao 9º EFAF'!I7/(B8*3)), 0)</f>
        <v>0.5858585859</v>
      </c>
      <c r="K8" s="13">
        <f>IF(AND(ISNUMBER(B8), B8&gt;0, ISNUMBER('6º ao 9º EFAF'!H7)), ('6º ao 9º EFAF'!H7/(B8*3)), 0)</f>
        <v>0.4141414141</v>
      </c>
      <c r="L8" s="13">
        <f>IF(AND(ISNUMBER(B8), B8&gt;0, ISNUMBER('6º ao 9º EFAF'!F7)), ('6º ao 9º EFAF'!F7/(B8*3)), 0)</f>
        <v>0.7878787879</v>
      </c>
      <c r="M8" s="13">
        <f>IF(AND(ISNUMBER(B8), B8&gt;0, ISNUMBER('6º ao 9º EFAF'!D7)), ('6º ao 9º EFAF'!D7/(B8*4)), 0)</f>
        <v>0.7045454545</v>
      </c>
      <c r="N8" s="13">
        <f>IF(AND(ISNUMBER(B8), B8&gt;0, ISNUMBER('6º ao 9º EFAF'!E7)), ('6º ao 9º EFAF'!E7/(B8*4)), 0)</f>
        <v>0.4242424242</v>
      </c>
      <c r="O8" s="12" t="s">
        <v>53</v>
      </c>
      <c r="P8" s="14">
        <f t="shared" si="4"/>
        <v>0.6359427609</v>
      </c>
    </row>
    <row r="9" ht="21.75" customHeight="1">
      <c r="A9" s="9" t="s">
        <v>50</v>
      </c>
      <c r="B9" s="10">
        <f>'6º ao 9º EFAF'!C8</f>
        <v>30</v>
      </c>
      <c r="C9" s="10">
        <f>'6º ao 9º EFAF'!B8</f>
        <v>31</v>
      </c>
      <c r="D9" s="11">
        <f t="shared" si="3"/>
        <v>0.9677419355</v>
      </c>
      <c r="E9" s="12" t="s">
        <v>53</v>
      </c>
      <c r="F9" s="13">
        <f>IF(AND(ISNUMBER(B9), B9&gt;0, ISNUMBER('6º ao 9º EFAF'!G8)), ('6º ao 9º EFAF'!G8/(B9*3)), 0)</f>
        <v>0.5333333333</v>
      </c>
      <c r="G9" s="12" t="s">
        <v>53</v>
      </c>
      <c r="H9" s="12" t="s">
        <v>53</v>
      </c>
      <c r="I9" s="12" t="s">
        <v>53</v>
      </c>
      <c r="J9" s="13">
        <f>IF(AND(ISNUMBER(B9), B9&gt;0, ISNUMBER('6º ao 9º EFAF'!I8)), ('6º ao 9º EFAF'!I8/(B9*3)), 0)</f>
        <v>0.5111111111</v>
      </c>
      <c r="K9" s="13">
        <f>IF(AND(ISNUMBER(B9), B9&gt;0, ISNUMBER('6º ao 9º EFAF'!H8)), ('6º ao 9º EFAF'!H8/(B9*3)), 0)</f>
        <v>0.4666666667</v>
      </c>
      <c r="L9" s="13">
        <f>IF(AND(ISNUMBER(B9), B9&gt;0, ISNUMBER('6º ao 9º EFAF'!F8)), ('6º ao 9º EFAF'!F8/(B9*3)), 0)</f>
        <v>0.5111111111</v>
      </c>
      <c r="M9" s="13">
        <f>IF(AND(ISNUMBER(B9), B9&gt;0, ISNUMBER('6º ao 9º EFAF'!D8)), ('6º ao 9º EFAF'!D8/(B9*4)), 0)</f>
        <v>0.6916666667</v>
      </c>
      <c r="N9" s="13">
        <f>IF(AND(ISNUMBER(B9), B9&gt;0, ISNUMBER('6º ao 9º EFAF'!E8)), ('6º ao 9º EFAF'!E8/(B9*4)), 0)</f>
        <v>0.425</v>
      </c>
      <c r="O9" s="12" t="s">
        <v>53</v>
      </c>
      <c r="P9" s="14">
        <f t="shared" si="4"/>
        <v>0.5231481481</v>
      </c>
    </row>
    <row r="10" ht="21.75" customHeight="1">
      <c r="A10" s="9" t="s">
        <v>51</v>
      </c>
      <c r="B10" s="10">
        <f>'6º ao 9º EFAF'!C9</f>
        <v>13</v>
      </c>
      <c r="C10" s="10">
        <f>'6º ao 9º EFAF'!B9</f>
        <v>15</v>
      </c>
      <c r="D10" s="11">
        <f t="shared" si="3"/>
        <v>0.8666666667</v>
      </c>
      <c r="E10" s="12" t="s">
        <v>53</v>
      </c>
      <c r="F10" s="13">
        <f>IF(AND(ISNUMBER(B10), B10&gt;0, ISNUMBER('6º ao 9º EFAF'!G9)), ('6º ao 9º EFAF'!G9/(B10*3)), 0)</f>
        <v>0.4358974359</v>
      </c>
      <c r="G10" s="12" t="s">
        <v>53</v>
      </c>
      <c r="H10" s="12" t="s">
        <v>53</v>
      </c>
      <c r="I10" s="12" t="s">
        <v>53</v>
      </c>
      <c r="J10" s="13">
        <f>IF(AND(ISNUMBER(B10), B10&gt;0, ISNUMBER('6º ao 9º EFAF'!I9)), ('6º ao 9º EFAF'!I9/(B10*3)), 0)</f>
        <v>0.358974359</v>
      </c>
      <c r="K10" s="13">
        <f>IF(AND(ISNUMBER(B10), B10&gt;0, ISNUMBER('6º ao 9º EFAF'!H9)), ('6º ao 9º EFAF'!H9/(B10*3)), 0)</f>
        <v>0.4102564103</v>
      </c>
      <c r="L10" s="13">
        <f>IF(AND(ISNUMBER(B10), B10&gt;0, ISNUMBER('6º ao 9º EFAF'!F9)), ('6º ao 9º EFAF'!F9/(B10*3)), 0)</f>
        <v>0.4102564103</v>
      </c>
      <c r="M10" s="13">
        <f>IF(AND(ISNUMBER(B10), B10&gt;0, ISNUMBER('6º ao 9º EFAF'!D9)), ('6º ao 9º EFAF'!D9/(B10*4)), 0)</f>
        <v>0.5576923077</v>
      </c>
      <c r="N10" s="13">
        <f>IF(AND(ISNUMBER(B10), B10&gt;0, ISNUMBER('6º ao 9º EFAF'!E9)), ('6º ao 9º EFAF'!E9/(B10*4)), 0)</f>
        <v>0.3076923077</v>
      </c>
      <c r="O10" s="12" t="s">
        <v>53</v>
      </c>
      <c r="P10" s="14">
        <f t="shared" si="4"/>
        <v>0.4134615385</v>
      </c>
    </row>
    <row r="11" ht="21.75" customHeight="1">
      <c r="A11" s="9" t="s">
        <v>43</v>
      </c>
      <c r="B11" s="10">
        <f>'1ª e 2ª EM'!C2</f>
        <v>30</v>
      </c>
      <c r="C11" s="10">
        <f>'1ª e 2ª EM'!B2</f>
        <v>41</v>
      </c>
      <c r="D11" s="11">
        <f t="shared" si="3"/>
        <v>0.7317073171</v>
      </c>
      <c r="E11" s="13">
        <f>IF(AND(ISNUMBER(B11), B11&gt;0, ISNUMBER('1ª e 2ª EM'!H2)), ('1ª e 2ª EM'!H2/(B11*2)), 0)</f>
        <v>0.6666666667</v>
      </c>
      <c r="F11" s="12" t="s">
        <v>53</v>
      </c>
      <c r="G11" s="12" t="s">
        <v>53</v>
      </c>
      <c r="H11" s="13">
        <f>IF(AND(ISNUMBER(B11), B11&gt;0, ISNUMBER('1ª e 2ª EM'!K2)), ('1ª e 2ª EM'!K2/(B11*2)), 0)</f>
        <v>0.7</v>
      </c>
      <c r="I11" s="13">
        <f>IF(AND(ISNUMBER(B11), B11&gt;0, ISNUMBER('1ª e 2ª EM'!F2)), ('1ª e 2ª EM'!F2/(B11*2)), 0)</f>
        <v>0.5166666667</v>
      </c>
      <c r="J11" s="13">
        <f>IF(AND(ISNUMBER(B11), B11&gt;0, ISNUMBER('1ª e 2ª EM'!J2)), ('1ª e 2ª EM'!J2/(B11*2)), 0)</f>
        <v>0.55</v>
      </c>
      <c r="K11" s="13">
        <f>IF(AND(ISNUMBER(B11), B11&gt;0, ISNUMBER('1ª e 2ª EM'!I2)), ('1ª e 2ª EM'!I2/(B11*2)), 0)</f>
        <v>0.8333333333</v>
      </c>
      <c r="L11" s="13">
        <f>IF(AND(ISNUMBER(B11), B11&gt;0, ISNUMBER('1ª e 2ª EM'!L2)), ('1ª e 2ª EM'!L2/(B11*2)), 0)</f>
        <v>0.65</v>
      </c>
      <c r="M11" s="13">
        <f>IF(AND(ISNUMBER(B11), B11&gt;0, ISNUMBER('1ª e 2ª EM'!D2)), ('1ª e 2ª EM'!D2/(B11*4)), 0)</f>
        <v>0.7666666667</v>
      </c>
      <c r="N11" s="13">
        <f>IF(AND(ISNUMBER(B11), B11&gt;0, ISNUMBER('1ª e 2ª EM'!E2)), ('1ª e 2ª EM'!E2/(B11*4)), 0)</f>
        <v>0.6083333333</v>
      </c>
      <c r="O11" s="13">
        <f>IF(AND(ISNUMBER(B11), B11&gt;0, ISNUMBER('1ª e 2ª EM'!G2)), ('1ª e 2ª EM'!G2/(B11*2)), 0)</f>
        <v>0.6166666667</v>
      </c>
      <c r="P11" s="14">
        <f t="shared" si="4"/>
        <v>0.6564814815</v>
      </c>
    </row>
    <row r="12" ht="21.75" customHeight="1">
      <c r="A12" s="9" t="s">
        <v>52</v>
      </c>
      <c r="B12" s="10">
        <f>'1ª e 2ª EM'!C3</f>
        <v>37</v>
      </c>
      <c r="C12" s="10">
        <f>'1ª e 2ª EM'!B3</f>
        <v>39</v>
      </c>
      <c r="D12" s="11">
        <f t="shared" si="3"/>
        <v>0.9487179487</v>
      </c>
      <c r="E12" s="13">
        <f>IF(AND(ISNUMBER(B12), B12&gt;0, ISNUMBER('1ª e 2ª EM'!H3)), ('1ª e 2ª EM'!H3/(B12*2)), 0)</f>
        <v>0.9054054054</v>
      </c>
      <c r="F12" s="12" t="s">
        <v>53</v>
      </c>
      <c r="G12" s="12" t="s">
        <v>53</v>
      </c>
      <c r="H12" s="13">
        <f>IF(AND(ISNUMBER(B12), B12&gt;0, ISNUMBER('1ª e 2ª EM'!K3)), ('1ª e 2ª EM'!K3/(B12*2)), 0)</f>
        <v>0.7972972973</v>
      </c>
      <c r="I12" s="13">
        <f>IF(AND(ISNUMBER(B12), B12&gt;0, ISNUMBER('1ª e 2ª EM'!F3)), ('1ª e 2ª EM'!F3/(B12*2)), 0)</f>
        <v>0.6081081081</v>
      </c>
      <c r="J12" s="13">
        <f>IF(AND(ISNUMBER(B12), B12&gt;0, ISNUMBER('1ª e 2ª EM'!J3)), ('1ª e 2ª EM'!J3/(B12*2)), 0)</f>
        <v>0.6891891892</v>
      </c>
      <c r="K12" s="13">
        <f>IF(AND(ISNUMBER(B12), B12&gt;0, ISNUMBER('1ª e 2ª EM'!I3)), ('1ª e 2ª EM'!I3/(B12*2)), 0)</f>
        <v>0.9594594595</v>
      </c>
      <c r="L12" s="13">
        <f>IF(AND(ISNUMBER(B12), B12&gt;0, ISNUMBER('1ª e 2ª EM'!L3)), ('1ª e 2ª EM'!L3/(B12*2)), 0)</f>
        <v>0.6756756757</v>
      </c>
      <c r="M12" s="13">
        <f>IF(AND(ISNUMBER(B12), B12&gt;0, ISNUMBER('1ª e 2ª EM'!D3)), ('1ª e 2ª EM'!D3/(B12*4)), 0)</f>
        <v>0.9594594595</v>
      </c>
      <c r="N12" s="13">
        <f>IF(AND(ISNUMBER(B12), B12&gt;0, ISNUMBER('1ª e 2ª EM'!E3)), ('1ª e 2ª EM'!E3/(B12*4)), 0)</f>
        <v>0.8581081081</v>
      </c>
      <c r="O12" s="13">
        <f>IF(AND(ISNUMBER(B12), B12&gt;0, ISNUMBER('1ª e 2ª EM'!G3)), ('1ª e 2ª EM'!G3/(B12*2)), 0)</f>
        <v>0.7837837838</v>
      </c>
      <c r="P12" s="14">
        <f t="shared" si="4"/>
        <v>0.8040540541</v>
      </c>
    </row>
    <row r="13" ht="21.75" customHeight="1">
      <c r="A13" s="9" t="s">
        <v>18</v>
      </c>
      <c r="B13" s="10">
        <f>'3ª EM'!C2</f>
        <v>29</v>
      </c>
      <c r="C13" s="10">
        <f>'3ª EM'!B2</f>
        <v>37</v>
      </c>
      <c r="D13" s="11">
        <f t="shared" si="3"/>
        <v>0.7837837838</v>
      </c>
      <c r="E13" s="12" t="s">
        <v>53</v>
      </c>
      <c r="F13" s="12" t="s">
        <v>53</v>
      </c>
      <c r="G13" s="12" t="s">
        <v>53</v>
      </c>
      <c r="H13" s="12" t="s">
        <v>53</v>
      </c>
      <c r="I13" s="13">
        <f>IF(AND(ISNUMBER(B13), B13&gt;0, ISNUMBER('3ª EM'!F2)), ('3ª EM'!F2/(B13*4)), 0)</f>
        <v>0.275862069</v>
      </c>
      <c r="J13" s="12" t="s">
        <v>53</v>
      </c>
      <c r="K13" s="13">
        <f>IF(AND(ISNUMBER(B13), B13&gt;0, ISNUMBER('3ª EM'!G2)), ('3ª EM'!G2/(B13*4)), 0)</f>
        <v>0.3189655172</v>
      </c>
      <c r="L13" s="13">
        <f>IF(AND(ISNUMBER(B13), B13&gt;0, ISNUMBER('3ª EM'!H2)), ('3ª EM'!H2/(B13*4)), 0)</f>
        <v>0.275862069</v>
      </c>
      <c r="M13" s="13">
        <f>IF(AND(ISNUMBER(B13), B13&gt;0, ISNUMBER('3ª EM'!D2)), ('3ª EM'!D2/(B13*5)), 0)</f>
        <v>0.4689655172</v>
      </c>
      <c r="N13" s="13">
        <f>IF(AND(ISNUMBER(B13), B13&gt;0, ISNUMBER('3ª EM'!E2)), ('3ª EM'!E2/(B13*5)), 0)</f>
        <v>0.2965517241</v>
      </c>
      <c r="O13" s="12" t="s">
        <v>53</v>
      </c>
      <c r="P13" s="14">
        <f t="shared" si="4"/>
        <v>0.3272413793</v>
      </c>
    </row>
    <row r="14" ht="21.75" customHeight="1">
      <c r="A14" s="9" t="s">
        <v>32</v>
      </c>
      <c r="B14" s="10">
        <f>'3ª EM'!C3</f>
        <v>34</v>
      </c>
      <c r="C14" s="10">
        <f>'3ª EM'!B3</f>
        <v>37</v>
      </c>
      <c r="D14" s="11">
        <f t="shared" si="3"/>
        <v>0.9189189189</v>
      </c>
      <c r="E14" s="12" t="s">
        <v>53</v>
      </c>
      <c r="F14" s="12" t="s">
        <v>53</v>
      </c>
      <c r="G14" s="12" t="s">
        <v>53</v>
      </c>
      <c r="H14" s="12" t="s">
        <v>53</v>
      </c>
      <c r="I14" s="13">
        <f>IF(AND(ISNUMBER(B14), B14&gt;0, ISNUMBER('3ª EM'!F3)), ('3ª EM'!F3/(B14*4)), 0)</f>
        <v>0.2205882353</v>
      </c>
      <c r="J14" s="12" t="s">
        <v>53</v>
      </c>
      <c r="K14" s="13">
        <f>IF(AND(ISNUMBER(B14), B14&gt;0, ISNUMBER('3ª EM'!G3)), ('3ª EM'!G3/(B14*4)), 0)</f>
        <v>0.5882352941</v>
      </c>
      <c r="L14" s="13">
        <f>IF(AND(ISNUMBER(B14), B14&gt;0, ISNUMBER('3ª EM'!H3)), ('3ª EM'!H3/(B14*4)), 0)</f>
        <v>0.5220588235</v>
      </c>
      <c r="M14" s="13">
        <f>IF(AND(ISNUMBER(B14), B14&gt;0, ISNUMBER('3ª EM'!D3)), ('3ª EM'!D3/(B14*5)), 0)</f>
        <v>0.6352941176</v>
      </c>
      <c r="N14" s="13">
        <f>IF(AND(ISNUMBER(B14), B14&gt;0, ISNUMBER('3ª EM'!E3)), ('3ª EM'!E3/(B14*5)), 0)</f>
        <v>0.4470588235</v>
      </c>
      <c r="O14" s="12" t="s">
        <v>53</v>
      </c>
      <c r="P14" s="14">
        <f t="shared" si="4"/>
        <v>0.4826470588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4">
    <cfRule type="cellIs" dxfId="0" priority="1" stopIfTrue="1" operator="between">
      <formula>0.50001</formula>
      <formula>1</formula>
    </cfRule>
  </conditionalFormatting>
  <conditionalFormatting sqref="E3:P14">
    <cfRule type="cellIs" dxfId="1" priority="2" stopIfTrue="1" operator="between">
      <formula>0.3</formula>
      <formula>0.5</formula>
    </cfRule>
  </conditionalFormatting>
  <conditionalFormatting sqref="E3:P14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