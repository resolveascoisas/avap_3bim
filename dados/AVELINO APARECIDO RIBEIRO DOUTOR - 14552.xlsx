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<sst xmlns="http://schemas.openxmlformats.org/spreadsheetml/2006/main" count="81" uniqueCount="48">
  <si>
    <t>6º ao 9º EFAF</t>
  </si>
  <si>
    <t>1ª/2ª EM</t>
  </si>
  <si>
    <t>3ª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</si>
  <si>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</si>
  <si>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</si>
  <si>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</si>
  <si>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</si>
  <si>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</si>
  <si>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</si>
  <si>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Língua Portuguesa (Questões 1, 2, 3, 4, 5)</t>
  </si>
  <si>
    <t>Acertos em História (Questões 15, 16, 17)</t>
  </si>
  <si>
    <t>Acertos em Geografia (Questões 18, 19, 20)</t>
  </si>
  <si>
    <t>Acertos em Matemática (Questões 6, 7, 8, 9, 10)</t>
  </si>
  <si>
    <t>Total de Acertos</t>
  </si>
  <si>
    <t>Acertos em Física (Questões 11, 12, 13, 14)</t>
  </si>
  <si>
    <t>Acertos em Física (Questões 9, 10)</t>
  </si>
  <si>
    <t>Acertos em História (Questões 15, 16, 17, 18)</t>
  </si>
  <si>
    <t>Acertos em Química (Questões 11, 12)</t>
  </si>
  <si>
    <t>Acertos em Biologia (Questões 13, 14)</t>
  </si>
  <si>
    <t>Acertos em Língua Inglesa (Questões 19, 20, 21, 22)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</si>
  <si>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</si>
  <si>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</si>
  <si>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</si>
  <si>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</si>
  <si>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3ª SERIE 3A TARDE ANUAL - 40945205</t>
  </si>
  <si>
    <t>1ª SERIE 1A TARDE ANUAL - 40987935</t>
  </si>
  <si>
    <t>Turma</t>
  </si>
  <si>
    <t>1ª SERIE 1B TARDE ANUAL - 40987934</t>
  </si>
  <si>
    <t>3ª SERIE 3B NOITE ANUAL - 40945206</t>
  </si>
  <si>
    <t>Alunos (Pres.)</t>
  </si>
  <si>
    <t>2ª SERIE 2A TARDE ANUAL - 40954729</t>
  </si>
  <si>
    <t>Total Matric.</t>
  </si>
  <si>
    <t>Part. (%)</t>
  </si>
  <si>
    <t>Biologia</t>
  </si>
  <si>
    <t>2ª SERIE 2B NOITE ANUAL - 41358795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</si>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</sst>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15</v>
      </c>
      <c r="G1" s="1" t="s">
        <v>17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13</v>
      </c>
    </row>
    <row r="2">
      <c r="A2" s="2" t="s">
        <v>25</v>
      </c>
      <c r="B2" s="3">
        <v>31.0</v>
      </c>
      <c r="C2" s="4">
        <v>31.0</v>
      </c>
      <c r="D2" s="4">
        <v>56.0</v>
      </c>
      <c r="E2" s="4">
        <v>42.0</v>
      </c>
      <c r="F2" s="4">
        <v>7.0</v>
      </c>
      <c r="G2" s="4">
        <v>8.0</v>
      </c>
      <c r="H2" s="4">
        <v>15.0</v>
      </c>
      <c r="I2" s="4">
        <v>15.0</v>
      </c>
      <c r="J2" s="4">
        <v>13.0</v>
      </c>
      <c r="K2" s="4">
        <v>13.0</v>
      </c>
      <c r="L2" s="4">
        <v>18.0</v>
      </c>
      <c r="M2" s="3">
        <f t="shared" ref="M2:M5" si="1">IF(COUNT(D2:L2)&gt;0, SUM(D2:L2), 0)</f>
        <v>187</v>
      </c>
    </row>
    <row r="3">
      <c r="A3" s="2" t="s">
        <v>27</v>
      </c>
      <c r="B3" s="3">
        <v>31.0</v>
      </c>
      <c r="C3" s="4">
        <v>21.0</v>
      </c>
      <c r="D3" s="4">
        <v>24.0</v>
      </c>
      <c r="E3" s="4">
        <v>25.0</v>
      </c>
      <c r="F3" s="4">
        <v>13.0</v>
      </c>
      <c r="G3" s="4">
        <v>6.0</v>
      </c>
      <c r="H3" s="4">
        <v>12.0</v>
      </c>
      <c r="I3" s="4">
        <v>7.0</v>
      </c>
      <c r="J3" s="4">
        <v>12.0</v>
      </c>
      <c r="K3" s="4">
        <v>9.0</v>
      </c>
      <c r="L3" s="4">
        <v>19.0</v>
      </c>
      <c r="M3" s="3">
        <f t="shared" si="1"/>
        <v>127</v>
      </c>
    </row>
    <row r="4">
      <c r="A4" s="2" t="s">
        <v>30</v>
      </c>
      <c r="B4" s="3">
        <v>32.0</v>
      </c>
      <c r="C4" s="4">
        <v>19.0</v>
      </c>
      <c r="D4" s="4">
        <v>28.0</v>
      </c>
      <c r="E4" s="4">
        <v>25.0</v>
      </c>
      <c r="F4" s="4">
        <v>8.0</v>
      </c>
      <c r="G4" s="4">
        <v>16.0</v>
      </c>
      <c r="H4" s="4">
        <v>14.0</v>
      </c>
      <c r="I4" s="4">
        <v>20.0</v>
      </c>
      <c r="J4" s="4">
        <v>5.0</v>
      </c>
      <c r="K4" s="4">
        <v>19.0</v>
      </c>
      <c r="L4" s="4">
        <v>13.0</v>
      </c>
      <c r="M4" s="3">
        <f t="shared" si="1"/>
        <v>148</v>
      </c>
    </row>
    <row r="5">
      <c r="A5" s="2" t="s">
        <v>34</v>
      </c>
      <c r="B5" s="3">
        <v>31.0</v>
      </c>
      <c r="C5" s="4">
        <v>25.0</v>
      </c>
      <c r="D5" s="4">
        <v>92.0</v>
      </c>
      <c r="E5" s="4">
        <v>74.0</v>
      </c>
      <c r="F5" s="4">
        <v>27.0</v>
      </c>
      <c r="G5" s="4">
        <v>35.0</v>
      </c>
      <c r="H5" s="4">
        <v>45.0</v>
      </c>
      <c r="I5" s="4">
        <v>45.0</v>
      </c>
      <c r="J5" s="4">
        <v>38.0</v>
      </c>
      <c r="K5" s="4">
        <v>36.0</v>
      </c>
      <c r="L5" s="4">
        <v>35.0</v>
      </c>
      <c r="M5" s="3">
        <f t="shared" si="1"/>
        <v>427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9</v>
      </c>
      <c r="E1" s="1" t="s">
        <v>12</v>
      </c>
      <c r="F1" s="1" t="s">
        <v>14</v>
      </c>
      <c r="G1" s="1" t="s">
        <v>16</v>
      </c>
      <c r="H1" s="1" t="s">
        <v>19</v>
      </c>
      <c r="I1" s="1" t="s">
        <v>13</v>
      </c>
    </row>
    <row r="2">
      <c r="A2" s="2" t="s">
        <v>24</v>
      </c>
      <c r="B2" s="3">
        <v>18.0</v>
      </c>
      <c r="C2" s="4">
        <v>13.0</v>
      </c>
      <c r="D2" s="4">
        <v>56.0</v>
      </c>
      <c r="E2" s="4">
        <v>43.0</v>
      </c>
      <c r="F2" s="4">
        <v>22.0</v>
      </c>
      <c r="G2" s="4">
        <v>40.0</v>
      </c>
      <c r="H2" s="4">
        <v>22.0</v>
      </c>
      <c r="I2" s="3">
        <f t="shared" ref="I2:I3" si="1">IF(COUNT(D2:H2)&gt;0, SUM(D2:H2), 0)</f>
        <v>183</v>
      </c>
    </row>
    <row r="3">
      <c r="A3" s="2" t="s">
        <v>28</v>
      </c>
      <c r="B3" s="3">
        <v>36.0</v>
      </c>
      <c r="C3" s="4">
        <v>31.0</v>
      </c>
      <c r="D3" s="4">
        <v>87.0</v>
      </c>
      <c r="E3" s="4">
        <v>79.0</v>
      </c>
      <c r="F3" s="4">
        <v>57.0</v>
      </c>
      <c r="G3" s="4">
        <v>62.0</v>
      </c>
      <c r="H3" s="4">
        <v>49.0</v>
      </c>
      <c r="I3" s="3">
        <f t="shared" si="1"/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26</v>
      </c>
      <c r="B1" s="5" t="s">
        <v>29</v>
      </c>
      <c r="C1" s="5" t="s">
        <v>31</v>
      </c>
      <c r="D1" s="5" t="s">
        <v>32</v>
      </c>
      <c r="E1" s="5" t="s">
        <v>33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</row>
    <row r="2" ht="27.75" customHeight="1">
      <c r="A2" s="6" t="s">
        <v>46</v>
      </c>
      <c r="B2" s="7">
        <f t="shared" ref="B2:C2" si="1">IFERROR(SUM(B3:B8), 0)</f>
        <v>140</v>
      </c>
      <c r="C2" s="7">
        <f t="shared" si="1"/>
        <v>179</v>
      </c>
      <c r="D2" s="8">
        <f t="shared" ref="D2:D8" si="3">IF(AND(ISNUMBER(C2), C2&gt;0, ISNUMBER(B2)), B2/C2, 0)</f>
        <v>0.782122905</v>
      </c>
      <c r="E2" s="8">
        <f t="shared" ref="E2:P2" si="2">IFERROR(AVERAGEIF(E3:E8, "&gt;0"), 0)</f>
        <v>0.4490177056</v>
      </c>
      <c r="F2" s="8">
        <f t="shared" si="2"/>
        <v>0</v>
      </c>
      <c r="G2" s="8">
        <f t="shared" si="2"/>
        <v>0.2119815668</v>
      </c>
      <c r="H2" s="8">
        <f t="shared" si="2"/>
        <v>0.61</v>
      </c>
      <c r="I2" s="8">
        <f t="shared" si="2"/>
        <v>0.3426179489</v>
      </c>
      <c r="J2" s="8">
        <f t="shared" si="2"/>
        <v>0.3467426631</v>
      </c>
      <c r="K2" s="8">
        <f t="shared" si="2"/>
        <v>0.5173581182</v>
      </c>
      <c r="L2" s="8">
        <f t="shared" si="2"/>
        <v>0.4338411683</v>
      </c>
      <c r="M2" s="8">
        <f t="shared" si="2"/>
        <v>0.5747628376</v>
      </c>
      <c r="N2" s="8">
        <f t="shared" si="2"/>
        <v>0.4794153291</v>
      </c>
      <c r="O2" s="8">
        <f t="shared" si="2"/>
        <v>0.3482355081</v>
      </c>
      <c r="P2" s="8">
        <f t="shared" si="2"/>
        <v>0.4585061749</v>
      </c>
    </row>
    <row r="3" ht="21.75" customHeight="1">
      <c r="A3" s="9" t="s">
        <v>25</v>
      </c>
      <c r="B3" s="10">
        <f>'1ª e 2ª EM'!C2</f>
        <v>31</v>
      </c>
      <c r="C3" s="10">
        <f>'1ª e 2ª EM'!B2</f>
        <v>31</v>
      </c>
      <c r="D3" s="11">
        <f t="shared" si="3"/>
        <v>1</v>
      </c>
      <c r="E3" s="12">
        <f>IF(AND(ISNUMBER(B3), B3&gt;0, ISNUMBER('1ª e 2ª EM'!H2)), ('1ª e 2ª EM'!H2/(B3*2)), 0)</f>
        <v>0.2419354839</v>
      </c>
      <c r="F3" s="13" t="s">
        <v>47</v>
      </c>
      <c r="G3" s="12">
        <f>IF(AND(ISNUMBER(B3), B3&gt;0, ISNUMBER('1ª e 2ª EM'!K2)), ('1ª e 2ª EM'!K2/(B3*2)), 0)</f>
        <v>0.2096774194</v>
      </c>
      <c r="H3" s="13" t="s">
        <v>47</v>
      </c>
      <c r="I3" s="12">
        <f>IF(AND(ISNUMBER(B3), B3&gt;0, ISNUMBER('1ª e 2ª EM'!F2)), ('1ª e 2ª EM'!F2/(B3*2)), 0)</f>
        <v>0.1129032258</v>
      </c>
      <c r="J3" s="12">
        <f>IF(AND(ISNUMBER(B3), B3&gt;0, ISNUMBER('1ª e 2ª EM'!J2)), ('1ª e 2ª EM'!J2/(B3*2)), 0)</f>
        <v>0.2096774194</v>
      </c>
      <c r="K3" s="12">
        <f>IF(AND(ISNUMBER(B3), B3&gt;0, ISNUMBER('1ª e 2ª EM'!I2)), ('1ª e 2ª EM'!I2/(B3*2)), 0)</f>
        <v>0.2419354839</v>
      </c>
      <c r="L3" s="12">
        <f>IF(AND(ISNUMBER(B3), B3&gt;0, ISNUMBER('1ª e 2ª EM'!L2)), ('1ª e 2ª EM'!L2/(B3*2)), 0)</f>
        <v>0.2903225806</v>
      </c>
      <c r="M3" s="12">
        <f>IF(AND(ISNUMBER(B3), B3&gt;0, ISNUMBER('1ª e 2ª EM'!D2)), ('1ª e 2ª EM'!D2/(B3*4)), 0)</f>
        <v>0.4516129032</v>
      </c>
      <c r="N3" s="12">
        <f>IF(AND(ISNUMBER(B3), B3&gt;0, ISNUMBER('1ª e 2ª EM'!E2)), ('1ª e 2ª EM'!E2/(B3*4)), 0)</f>
        <v>0.3387096774</v>
      </c>
      <c r="O3" s="12">
        <f>IF(AND(ISNUMBER(B3), B3&gt;0, ISNUMBER('1ª e 2ª EM'!G2)), ('1ª e 2ª EM'!G2/(B3*2)), 0)</f>
        <v>0.1290322581</v>
      </c>
      <c r="P3" s="14">
        <f t="shared" ref="P3:P8" si="4">IFERROR(AVERAGEIF(E3:O3, "&gt;0"), 0)</f>
        <v>0.247311828</v>
      </c>
    </row>
    <row r="4" ht="21.75" customHeight="1">
      <c r="A4" s="9" t="s">
        <v>27</v>
      </c>
      <c r="B4" s="10">
        <f>'1ª e 2ª EM'!C3</f>
        <v>21</v>
      </c>
      <c r="C4" s="10">
        <f>'1ª e 2ª EM'!B3</f>
        <v>31</v>
      </c>
      <c r="D4" s="11">
        <f t="shared" si="3"/>
        <v>0.6774193548</v>
      </c>
      <c r="E4" s="12">
        <f>IF(AND(ISNUMBER(B4), B4&gt;0, ISNUMBER('1ª e 2ª EM'!H3)), ('1ª e 2ª EM'!H3/(B4*2)), 0)</f>
        <v>0.2857142857</v>
      </c>
      <c r="F4" s="13" t="s">
        <v>47</v>
      </c>
      <c r="G4" s="12">
        <f>IF(AND(ISNUMBER(B4), B4&gt;0, ISNUMBER('1ª e 2ª EM'!K3)), ('1ª e 2ª EM'!K3/(B4*2)), 0)</f>
        <v>0.2142857143</v>
      </c>
      <c r="H4" s="13" t="s">
        <v>47</v>
      </c>
      <c r="I4" s="12">
        <f>IF(AND(ISNUMBER(B4), B4&gt;0, ISNUMBER('1ª e 2ª EM'!F3)), ('1ª e 2ª EM'!F3/(B4*2)), 0)</f>
        <v>0.3095238095</v>
      </c>
      <c r="J4" s="12">
        <f>IF(AND(ISNUMBER(B4), B4&gt;0, ISNUMBER('1ª e 2ª EM'!J3)), ('1ª e 2ª EM'!J3/(B4*2)), 0)</f>
        <v>0.2857142857</v>
      </c>
      <c r="K4" s="12">
        <f>IF(AND(ISNUMBER(B4), B4&gt;0, ISNUMBER('1ª e 2ª EM'!I3)), ('1ª e 2ª EM'!I3/(B4*2)), 0)</f>
        <v>0.1666666667</v>
      </c>
      <c r="L4" s="12">
        <f>IF(AND(ISNUMBER(B4), B4&gt;0, ISNUMBER('1ª e 2ª EM'!L3)), ('1ª e 2ª EM'!L3/(B4*2)), 0)</f>
        <v>0.4523809524</v>
      </c>
      <c r="M4" s="12">
        <f>IF(AND(ISNUMBER(B4), B4&gt;0, ISNUMBER('1ª e 2ª EM'!D3)), ('1ª e 2ª EM'!D3/(B4*4)), 0)</f>
        <v>0.2857142857</v>
      </c>
      <c r="N4" s="12">
        <f>IF(AND(ISNUMBER(B4), B4&gt;0, ISNUMBER('1ª e 2ª EM'!E3)), ('1ª e 2ª EM'!E3/(B4*4)), 0)</f>
        <v>0.2976190476</v>
      </c>
      <c r="O4" s="12">
        <f>IF(AND(ISNUMBER(B4), B4&gt;0, ISNUMBER('1ª e 2ª EM'!G3)), ('1ª e 2ª EM'!G3/(B4*2)), 0)</f>
        <v>0.1428571429</v>
      </c>
      <c r="P4" s="14">
        <f t="shared" si="4"/>
        <v>0.2711640212</v>
      </c>
    </row>
    <row r="5" ht="21.75" customHeight="1">
      <c r="A5" s="9" t="s">
        <v>30</v>
      </c>
      <c r="B5" s="10">
        <f>'1ª e 2ª EM'!C4</f>
        <v>19</v>
      </c>
      <c r="C5" s="10">
        <f>'1ª e 2ª EM'!B4</f>
        <v>32</v>
      </c>
      <c r="D5" s="11">
        <f t="shared" si="3"/>
        <v>0.59375</v>
      </c>
      <c r="E5" s="12">
        <f>IF(AND(ISNUMBER(B5), B5&gt;0, ISNUMBER('1ª e 2ª EM'!H4)), ('1ª e 2ª EM'!H4/(B5*2)), 0)</f>
        <v>0.3684210526</v>
      </c>
      <c r="F5" s="13" t="s">
        <v>47</v>
      </c>
      <c r="G5" s="13" t="s">
        <v>47</v>
      </c>
      <c r="H5" s="12">
        <f>IF(AND(ISNUMBER(B5), B5&gt;0, ISNUMBER('1ª e 2ª EM'!K4)), ('1ª e 2ª EM'!K4/(B5*2)), 0)</f>
        <v>0.5</v>
      </c>
      <c r="I5" s="12">
        <f>IF(AND(ISNUMBER(B5), B5&gt;0, ISNUMBER('1ª e 2ª EM'!F4)), ('1ª e 2ª EM'!F4/(B5*2)), 0)</f>
        <v>0.2105263158</v>
      </c>
      <c r="J5" s="12">
        <f>IF(AND(ISNUMBER(B5), B5&gt;0, ISNUMBER('1ª e 2ª EM'!J4)), ('1ª e 2ª EM'!J4/(B5*2)), 0)</f>
        <v>0.1315789474</v>
      </c>
      <c r="K5" s="12">
        <f>IF(AND(ISNUMBER(B5), B5&gt;0, ISNUMBER('1ª e 2ª EM'!I4)), ('1ª e 2ª EM'!I4/(B5*2)), 0)</f>
        <v>0.5263157895</v>
      </c>
      <c r="L5" s="12">
        <f>IF(AND(ISNUMBER(B5), B5&gt;0, ISNUMBER('1ª e 2ª EM'!L4)), ('1ª e 2ª EM'!L4/(B5*2)), 0)</f>
        <v>0.3421052632</v>
      </c>
      <c r="M5" s="12">
        <f>IF(AND(ISNUMBER(B5), B5&gt;0, ISNUMBER('1ª e 2ª EM'!D4)), ('1ª e 2ª EM'!D4/(B5*4)), 0)</f>
        <v>0.3684210526</v>
      </c>
      <c r="N5" s="12">
        <f>IF(AND(ISNUMBER(B5), B5&gt;0, ISNUMBER('1ª e 2ª EM'!E4)), ('1ª e 2ª EM'!E4/(B5*4)), 0)</f>
        <v>0.3289473684</v>
      </c>
      <c r="O5" s="12">
        <f>IF(AND(ISNUMBER(B5), B5&gt;0, ISNUMBER('1ª e 2ª EM'!G4)), ('1ª e 2ª EM'!G4/(B5*2)), 0)</f>
        <v>0.4210526316</v>
      </c>
      <c r="P5" s="14">
        <f t="shared" si="4"/>
        <v>0.3552631579</v>
      </c>
    </row>
    <row r="6" ht="21.75" customHeight="1">
      <c r="A6" s="9" t="s">
        <v>34</v>
      </c>
      <c r="B6" s="10">
        <f>'1ª e 2ª EM'!C5</f>
        <v>25</v>
      </c>
      <c r="C6" s="10">
        <f>'1ª e 2ª EM'!B5</f>
        <v>31</v>
      </c>
      <c r="D6" s="11">
        <f t="shared" si="3"/>
        <v>0.8064516129</v>
      </c>
      <c r="E6" s="12">
        <f>IF(AND(ISNUMBER(B6), B6&gt;0, ISNUMBER('1ª e 2ª EM'!H5)), ('1ª e 2ª EM'!H5/(B6*2)), 0)</f>
        <v>0.9</v>
      </c>
      <c r="F6" s="13" t="s">
        <v>47</v>
      </c>
      <c r="G6" s="13" t="s">
        <v>47</v>
      </c>
      <c r="H6" s="12">
        <f>IF(AND(ISNUMBER(B6), B6&gt;0, ISNUMBER('1ª e 2ª EM'!K5)), ('1ª e 2ª EM'!K5/(B6*2)), 0)</f>
        <v>0.72</v>
      </c>
      <c r="I6" s="12">
        <f>IF(AND(ISNUMBER(B6), B6&gt;0, ISNUMBER('1ª e 2ª EM'!F5)), ('1ª e 2ª EM'!F5/(B6*2)), 0)</f>
        <v>0.54</v>
      </c>
      <c r="J6" s="12">
        <f>IF(AND(ISNUMBER(B6), B6&gt;0, ISNUMBER('1ª e 2ª EM'!J5)), ('1ª e 2ª EM'!J5/(B6*2)), 0)</f>
        <v>0.76</v>
      </c>
      <c r="K6" s="12">
        <f>IF(AND(ISNUMBER(B6), B6&gt;0, ISNUMBER('1ª e 2ª EM'!I5)), ('1ª e 2ª EM'!I5/(B6*2)), 0)</f>
        <v>0.9</v>
      </c>
      <c r="L6" s="12">
        <f>IF(AND(ISNUMBER(B6), B6&gt;0, ISNUMBER('1ª e 2ª EM'!L5)), ('1ª e 2ª EM'!L5/(B6*2)), 0)</f>
        <v>0.7</v>
      </c>
      <c r="M6" s="12">
        <f>IF(AND(ISNUMBER(B6), B6&gt;0, ISNUMBER('1ª e 2ª EM'!D5)), ('1ª e 2ª EM'!D5/(B6*4)), 0)</f>
        <v>0.92</v>
      </c>
      <c r="N6" s="12">
        <f>IF(AND(ISNUMBER(B6), B6&gt;0, ISNUMBER('1ª e 2ª EM'!E5)), ('1ª e 2ª EM'!E5/(B6*4)), 0)</f>
        <v>0.74</v>
      </c>
      <c r="O6" s="12">
        <f>IF(AND(ISNUMBER(B6), B6&gt;0, ISNUMBER('1ª e 2ª EM'!G5)), ('1ª e 2ª EM'!G5/(B6*2)), 0)</f>
        <v>0.7</v>
      </c>
      <c r="P6" s="14">
        <f t="shared" si="4"/>
        <v>0.7644444444</v>
      </c>
    </row>
    <row r="7" ht="21.75" customHeight="1">
      <c r="A7" s="9" t="s">
        <v>24</v>
      </c>
      <c r="B7" s="10">
        <f>'3ª EM'!C2</f>
        <v>13</v>
      </c>
      <c r="C7" s="10">
        <f>'3ª EM'!B2</f>
        <v>18</v>
      </c>
      <c r="D7" s="11">
        <f t="shared" si="3"/>
        <v>0.7222222222</v>
      </c>
      <c r="E7" s="13" t="s">
        <v>47</v>
      </c>
      <c r="F7" s="13" t="s">
        <v>47</v>
      </c>
      <c r="G7" s="13" t="s">
        <v>47</v>
      </c>
      <c r="H7" s="13" t="s">
        <v>47</v>
      </c>
      <c r="I7" s="12">
        <f>IF(AND(ISNUMBER(B7), B7&gt;0, ISNUMBER('3ª EM'!F2)), ('3ª EM'!F2/(B7*4)), 0)</f>
        <v>0.4230769231</v>
      </c>
      <c r="J7" s="13" t="s">
        <v>47</v>
      </c>
      <c r="K7" s="12">
        <f>IF(AND(ISNUMBER(B7), B7&gt;0, ISNUMBER('3ª EM'!G2)), ('3ª EM'!G2/(B7*4)), 0)</f>
        <v>0.7692307692</v>
      </c>
      <c r="L7" s="12">
        <f>IF(AND(ISNUMBER(B7), B7&gt;0, ISNUMBER('3ª EM'!H2)), ('3ª EM'!H2/(B7*4)), 0)</f>
        <v>0.4230769231</v>
      </c>
      <c r="M7" s="12">
        <f>IF(AND(ISNUMBER(B7), B7&gt;0, ISNUMBER('3ª EM'!D2)), ('3ª EM'!D2/(B7*5)), 0)</f>
        <v>0.8615384615</v>
      </c>
      <c r="N7" s="12">
        <f>IF(AND(ISNUMBER(B7), B7&gt;0, ISNUMBER('3ª EM'!E2)), ('3ª EM'!E2/(B7*5)), 0)</f>
        <v>0.6615384615</v>
      </c>
      <c r="O7" s="13" t="s">
        <v>47</v>
      </c>
      <c r="P7" s="14">
        <f t="shared" si="4"/>
        <v>0.6276923077</v>
      </c>
    </row>
    <row r="8" ht="21.75" customHeight="1">
      <c r="A8" s="9" t="s">
        <v>28</v>
      </c>
      <c r="B8" s="10">
        <f>'3ª EM'!C3</f>
        <v>31</v>
      </c>
      <c r="C8" s="10">
        <f>'3ª EM'!B3</f>
        <v>36</v>
      </c>
      <c r="D8" s="11">
        <f t="shared" si="3"/>
        <v>0.8611111111</v>
      </c>
      <c r="E8" s="13" t="s">
        <v>47</v>
      </c>
      <c r="F8" s="13" t="s">
        <v>47</v>
      </c>
      <c r="G8" s="13" t="s">
        <v>47</v>
      </c>
      <c r="H8" s="13" t="s">
        <v>47</v>
      </c>
      <c r="I8" s="12">
        <f>IF(AND(ISNUMBER(B8), B8&gt;0, ISNUMBER('3ª EM'!F3)), ('3ª EM'!F3/(B8*4)), 0)</f>
        <v>0.4596774194</v>
      </c>
      <c r="J8" s="13" t="s">
        <v>47</v>
      </c>
      <c r="K8" s="12">
        <f>IF(AND(ISNUMBER(B8), B8&gt;0, ISNUMBER('3ª EM'!G3)), ('3ª EM'!G3/(B8*4)), 0)</f>
        <v>0.5</v>
      </c>
      <c r="L8" s="12">
        <f>IF(AND(ISNUMBER(B8), B8&gt;0, ISNUMBER('3ª EM'!H3)), ('3ª EM'!H3/(B8*4)), 0)</f>
        <v>0.3951612903</v>
      </c>
      <c r="M8" s="12">
        <f>IF(AND(ISNUMBER(B8), B8&gt;0, ISNUMBER('3ª EM'!D3)), ('3ª EM'!D3/(B8*5)), 0)</f>
        <v>0.5612903226</v>
      </c>
      <c r="N8" s="12">
        <f>IF(AND(ISNUMBER(B8), B8&gt;0, ISNUMBER('3ª EM'!E3)), ('3ª EM'!E3/(B8*5)), 0)</f>
        <v>0.5096774194</v>
      </c>
      <c r="O8" s="13" t="s">
        <v>47</v>
      </c>
      <c r="P8" s="14">
        <f t="shared" si="4"/>
        <v>0.4851612903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8">
    <cfRule type="cellIs" dxfId="0" priority="1" stopIfTrue="1" operator="between">
      <formula>0.50001</formula>
      <formula>1</formula>
    </cfRule>
  </conditionalFormatting>
  <conditionalFormatting sqref="E3:P8">
    <cfRule type="cellIs" dxfId="1" priority="2" stopIfTrue="1" operator="between">
      <formula>0.3</formula>
      <formula>0.5</formula>
    </cfRule>
  </conditionalFormatting>
  <conditionalFormatting sqref="E3:P8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