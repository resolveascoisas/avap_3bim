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<sst xmlns="http://schemas.openxmlformats.org/spreadsheetml/2006/main" count="170" uniqueCount="61">
  <si>
    <t>6º ao 9º EFAF</t>
  </si>
  <si>
    <t>1ª/2ª EM</t>
  </si>
  <si>
    <t>Total de Matrículas</t>
  </si>
  <si>
    <t>Alunos que fizeram a avaliação</t>
  </si>
  <si>
    <t>Acertos em Língua Portuguesa (Questões 1, 2, 3, 4)</t>
  </si>
  <si>
    <t>3ª EM</t>
  </si>
  <si>
    <t>Turma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</si>
  <si>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</si>
  <si>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</si>
  <si>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</si>
  <si>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</si>
  <si>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Física (Questões 9, 10)</t>
  </si>
  <si>
    <t>Acertos em Geografia (Questões 18, 19, 20)</t>
  </si>
  <si>
    <t>Acertos em Química (Questões 11, 12)</t>
  </si>
  <si>
    <t>Acertos em Língua Portuguesa (Questões 1, 2, 3, 4, 5)</t>
  </si>
  <si>
    <t>Acertos em Biologia (Questões 13, 14)</t>
  </si>
  <si>
    <t>Total de Acertos</t>
  </si>
  <si>
    <t>Acertos em Matemática (Questões 6, 7, 8, 9, 10)</t>
  </si>
  <si>
    <t>Acertos em História (Questões 15, 16)</t>
  </si>
  <si>
    <t>Acertos em Física (Questões 11, 12, 13, 14)</t>
  </si>
  <si>
    <t>Acertos em Geografia (Questões 17, 18)</t>
  </si>
  <si>
    <t>Acertos em História (Questões 15, 16, 17, 18)</t>
  </si>
  <si>
    <t>6° ANO A INTEGRAL 7H T1 ANUAL - 40975453</t>
  </si>
  <si>
    <t>Acertos em Filosofia/Sociologia (Questões 19, 20)</t>
  </si>
  <si>
    <t>Acertos em Língua Inglesa (Questões 19, 20, 21, 22)</t>
  </si>
  <si>
    <t>Acertos em Língua Inglesa (Questões 21, 22)</t>
  </si>
  <si>
    <t>Alunos (Pres.)</t>
  </si>
  <si>
    <t>Total Matric.</t>
  </si>
  <si>
    <t>Part. (%)</t>
  </si>
  <si>
    <t>3ª SERIE B INTEGRAL 7H T2 ANUAL - 40945201</t>
  </si>
  <si>
    <t>12173 - AGRONEGÓCIO - 2ª SERIE B INTEGRAL 7H T2 ANUAL - 41139016</t>
  </si>
  <si>
    <t>Biologia</t>
  </si>
  <si>
    <t>Ciências</t>
  </si>
  <si>
    <t>Filosofia</t>
  </si>
  <si>
    <t>Sociologia</t>
  </si>
  <si>
    <t>Física</t>
  </si>
  <si>
    <t>Geografia</t>
  </si>
  <si>
    <t>História</t>
  </si>
  <si>
    <t>Língua Inglesa</t>
  </si>
  <si>
    <t>Língua Portuguesa</t>
  </si>
  <si>
    <t>Matemática</t>
  </si>
  <si>
    <t>Química</t>
  </si>
  <si>
    <t>Média Geral</t>
  </si>
  <si>
    <t>MÉDIA GLOBAL DA ESCOLA</t>
  </si>
  <si>
    <t>1ª SERIE A INTEGRAL 7H T2 ANUAL - 40967644</t>
  </si>
  <si>
    <t>3ª SERIE C NOITE ANUAL - 40945200</t>
  </si>
  <si>
    <t>6° ANO C INTEGRAL 7H T1 ANUAL - 40975455</t>
  </si>
  <si>
    <t>1ª SERIE B INTEGRAL 7H T2 ANUAL - 40967645</t>
  </si>
  <si>
    <t>4050 - ADMINISTRAÇÃO - 3ª SERIE A INTEGRAL 7H T2 ANUAL - 40964112</t>
  </si>
  <si>
    <t>7° ANO A INTEGRAL 7H T1 ANUAL - 40907767</t>
  </si>
  <si>
    <t>2ª SERIE C NOITE ANUAL - 41753918</t>
  </si>
  <si>
    <t>7° ANO B INTEGRAL 7H T1 ANUAL - 40907765</t>
  </si>
  <si>
    <t>4050 - ADMINISTRAÇÃO - 2ª SERIE A INTEGRAL 7H T2 ANUAL - 41139015</t>
  </si>
  <si>
    <t>7° ANO C INTEGRAL 7H T1 ANUAL - 40907764</t>
  </si>
  <si>
    <t>8° ANO A INTEGRAL 7H T1 ANUAL - 40907771</t>
  </si>
  <si>
    <t>8° ANO B INTEGRAL 7H T1 ANUAL - 40907770</t>
  </si>
  <si>
    <t>8° ANO C INTEGRAL 7H T1 ANUAL - 40907769</t>
  </si>
  <si>
    <t>9° ANO A INTEGRAL 7H T1 ANUAL - 40907768</t>
  </si>
  <si>
    <t>9° ANO B INTEGRAL 7H T1 ANUAL - 40907772</t>
  </si>
  <si>
    <t>9° ANO C INTEGRAL 7H T1 ANUAL - 40907766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</si>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</sst>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9.0"/>
      <color rgb="FFFFFFFF"/>
      <name val="Calibri"/>
      <scheme val="minor"/>
    </font>
    <font>
      <sz val="11.0"/>
      <color theme="1"/>
      <name val="Calibri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12</v>
      </c>
      <c r="J1" s="1" t="s">
        <v>16</v>
      </c>
    </row>
    <row r="2">
      <c r="A2" s="3" t="s">
        <v>22</v>
      </c>
      <c r="B2" s="4">
        <v>34.0</v>
      </c>
      <c r="C2" s="5">
        <v>34.0</v>
      </c>
      <c r="D2" s="5">
        <v>92.0</v>
      </c>
      <c r="E2" s="5">
        <v>78.0</v>
      </c>
      <c r="F2" s="5">
        <v>76.0</v>
      </c>
      <c r="G2" s="5">
        <v>55.0</v>
      </c>
      <c r="H2" s="5">
        <v>27.0</v>
      </c>
      <c r="I2" s="5">
        <v>73.0</v>
      </c>
      <c r="J2" s="4">
        <f t="shared" ref="J2:J12" si="1">IF(COUNT(D2:I2)&gt;0, SUM(D2:I2), 0)</f>
        <v>401</v>
      </c>
    </row>
    <row r="3">
      <c r="A3" s="3" t="s">
        <v>46</v>
      </c>
      <c r="B3" s="4">
        <v>33.0</v>
      </c>
      <c r="C3" s="5">
        <v>30.0</v>
      </c>
      <c r="D3" s="5">
        <v>88.0</v>
      </c>
      <c r="E3" s="5">
        <v>59.0</v>
      </c>
      <c r="F3" s="5">
        <v>55.0</v>
      </c>
      <c r="G3" s="5">
        <v>31.0</v>
      </c>
      <c r="H3" s="5">
        <v>28.0</v>
      </c>
      <c r="I3" s="5">
        <v>47.0</v>
      </c>
      <c r="J3" s="4">
        <f t="shared" si="1"/>
        <v>308</v>
      </c>
    </row>
    <row r="4">
      <c r="A4" s="3" t="s">
        <v>49</v>
      </c>
      <c r="B4" s="4">
        <v>27.0</v>
      </c>
      <c r="C4" s="5">
        <v>24.0</v>
      </c>
      <c r="D4" s="5">
        <v>37.0</v>
      </c>
      <c r="E4" s="5">
        <v>26.0</v>
      </c>
      <c r="F4" s="5">
        <v>38.0</v>
      </c>
      <c r="G4" s="5">
        <v>43.0</v>
      </c>
      <c r="H4" s="5">
        <v>39.0</v>
      </c>
      <c r="I4" s="5">
        <v>40.0</v>
      </c>
      <c r="J4" s="4">
        <f t="shared" si="1"/>
        <v>223</v>
      </c>
    </row>
    <row r="5">
      <c r="A5" s="3" t="s">
        <v>51</v>
      </c>
      <c r="B5" s="4">
        <v>25.0</v>
      </c>
      <c r="C5" s="5">
        <v>23.0</v>
      </c>
      <c r="D5" s="5">
        <v>47.0</v>
      </c>
      <c r="E5" s="5">
        <v>15.0</v>
      </c>
      <c r="F5" s="5">
        <v>37.0</v>
      </c>
      <c r="G5" s="5">
        <v>36.0</v>
      </c>
      <c r="H5" s="5">
        <v>26.0</v>
      </c>
      <c r="I5" s="5">
        <v>27.0</v>
      </c>
      <c r="J5" s="4">
        <f t="shared" si="1"/>
        <v>188</v>
      </c>
    </row>
    <row r="6">
      <c r="A6" s="3" t="s">
        <v>53</v>
      </c>
      <c r="B6" s="4">
        <v>31.0</v>
      </c>
      <c r="C6" s="5">
        <v>30.0</v>
      </c>
      <c r="D6" s="5">
        <v>62.0</v>
      </c>
      <c r="E6" s="5">
        <v>45.0</v>
      </c>
      <c r="F6" s="5">
        <v>38.0</v>
      </c>
      <c r="G6" s="5">
        <v>56.0</v>
      </c>
      <c r="H6" s="5">
        <v>47.0</v>
      </c>
      <c r="I6" s="5">
        <v>48.0</v>
      </c>
      <c r="J6" s="4">
        <f t="shared" si="1"/>
        <v>296</v>
      </c>
    </row>
    <row r="7">
      <c r="A7" s="3" t="s">
        <v>54</v>
      </c>
      <c r="B7" s="4">
        <v>29.0</v>
      </c>
      <c r="C7" s="5">
        <v>27.0</v>
      </c>
      <c r="D7" s="5">
        <v>81.0</v>
      </c>
      <c r="E7" s="5">
        <v>47.0</v>
      </c>
      <c r="F7" s="5">
        <v>58.0</v>
      </c>
      <c r="G7" s="5">
        <v>53.0</v>
      </c>
      <c r="H7" s="5">
        <v>44.0</v>
      </c>
      <c r="I7" s="5">
        <v>19.0</v>
      </c>
      <c r="J7" s="4">
        <f t="shared" si="1"/>
        <v>302</v>
      </c>
    </row>
    <row r="8">
      <c r="A8" s="3" t="s">
        <v>55</v>
      </c>
      <c r="B8" s="4">
        <v>29.0</v>
      </c>
      <c r="C8" s="5">
        <v>26.0</v>
      </c>
      <c r="D8" s="5">
        <v>67.0</v>
      </c>
      <c r="E8" s="5">
        <v>23.0</v>
      </c>
      <c r="F8" s="5">
        <v>43.0</v>
      </c>
      <c r="G8" s="5">
        <v>48.0</v>
      </c>
      <c r="H8" s="5">
        <v>30.0</v>
      </c>
      <c r="I8" s="5">
        <v>20.0</v>
      </c>
      <c r="J8" s="4">
        <f t="shared" si="1"/>
        <v>231</v>
      </c>
    </row>
    <row r="9">
      <c r="A9" s="3" t="s">
        <v>56</v>
      </c>
      <c r="B9" s="4">
        <v>32.0</v>
      </c>
      <c r="C9" s="5">
        <v>32.0</v>
      </c>
      <c r="D9" s="5">
        <v>87.0</v>
      </c>
      <c r="E9" s="5">
        <v>50.0</v>
      </c>
      <c r="F9" s="5">
        <v>62.0</v>
      </c>
      <c r="G9" s="5">
        <v>65.0</v>
      </c>
      <c r="H9" s="5">
        <v>57.0</v>
      </c>
      <c r="I9" s="5">
        <v>30.0</v>
      </c>
      <c r="J9" s="4">
        <f t="shared" si="1"/>
        <v>351</v>
      </c>
    </row>
    <row r="10">
      <c r="A10" s="3" t="s">
        <v>57</v>
      </c>
      <c r="B10" s="4">
        <v>31.0</v>
      </c>
      <c r="C10" s="5">
        <v>30.0</v>
      </c>
      <c r="D10" s="5">
        <v>71.0</v>
      </c>
      <c r="E10" s="5">
        <v>34.0</v>
      </c>
      <c r="F10" s="5">
        <v>38.0</v>
      </c>
      <c r="G10" s="5">
        <v>58.0</v>
      </c>
      <c r="H10" s="5">
        <v>17.0</v>
      </c>
      <c r="I10" s="5">
        <v>45.0</v>
      </c>
      <c r="J10" s="4">
        <f t="shared" si="1"/>
        <v>263</v>
      </c>
    </row>
    <row r="11">
      <c r="A11" s="3" t="s">
        <v>58</v>
      </c>
      <c r="B11" s="4">
        <v>35.0</v>
      </c>
      <c r="C11" s="5">
        <v>30.0</v>
      </c>
      <c r="D11" s="5">
        <v>65.0</v>
      </c>
      <c r="E11" s="5">
        <v>50.0</v>
      </c>
      <c r="F11" s="5">
        <v>55.0</v>
      </c>
      <c r="G11" s="5">
        <v>68.0</v>
      </c>
      <c r="H11" s="5">
        <v>39.0</v>
      </c>
      <c r="I11" s="5">
        <v>44.0</v>
      </c>
      <c r="J11" s="4">
        <f t="shared" si="1"/>
        <v>321</v>
      </c>
    </row>
    <row r="12">
      <c r="A12" s="3" t="s">
        <v>59</v>
      </c>
      <c r="B12" s="4">
        <v>29.0</v>
      </c>
      <c r="C12" s="5">
        <v>27.0</v>
      </c>
      <c r="D12" s="5">
        <v>44.0</v>
      </c>
      <c r="E12" s="5">
        <v>27.0</v>
      </c>
      <c r="F12" s="5">
        <v>28.0</v>
      </c>
      <c r="G12" s="5">
        <v>47.0</v>
      </c>
      <c r="H12" s="5">
        <v>24.0</v>
      </c>
      <c r="I12" s="5">
        <v>33.0</v>
      </c>
      <c r="J12" s="4">
        <f t="shared" si="1"/>
        <v>203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11</v>
      </c>
      <c r="G1" s="1" t="s">
        <v>13</v>
      </c>
      <c r="H1" s="1" t="s">
        <v>15</v>
      </c>
      <c r="I1" s="1" t="s">
        <v>18</v>
      </c>
      <c r="J1" s="1" t="s">
        <v>20</v>
      </c>
      <c r="K1" s="1" t="s">
        <v>23</v>
      </c>
      <c r="L1" s="1" t="s">
        <v>25</v>
      </c>
      <c r="M1" s="1" t="s">
        <v>16</v>
      </c>
    </row>
    <row r="2">
      <c r="A2" s="3" t="s">
        <v>30</v>
      </c>
      <c r="B2" s="4">
        <v>15.0</v>
      </c>
      <c r="C2" s="5">
        <v>13.0</v>
      </c>
      <c r="D2" s="5">
        <v>35.0</v>
      </c>
      <c r="E2" s="5">
        <v>23.0</v>
      </c>
      <c r="F2" s="5">
        <v>4.0</v>
      </c>
      <c r="G2" s="5">
        <v>7.0</v>
      </c>
      <c r="H2" s="5">
        <v>13.0</v>
      </c>
      <c r="I2" s="5">
        <v>22.0</v>
      </c>
      <c r="J2" s="5">
        <v>12.0</v>
      </c>
      <c r="K2" s="5">
        <v>17.0</v>
      </c>
      <c r="L2" s="5">
        <v>25.0</v>
      </c>
      <c r="M2" s="4">
        <f t="shared" ref="M2:M6" si="1">IF(COUNT(D2:L2)&gt;0, SUM(D2:L2), 0)</f>
        <v>158</v>
      </c>
    </row>
    <row r="3">
      <c r="A3" s="3" t="s">
        <v>44</v>
      </c>
      <c r="B3" s="4">
        <v>32.0</v>
      </c>
      <c r="C3" s="5">
        <v>29.0</v>
      </c>
      <c r="D3" s="5">
        <v>74.0</v>
      </c>
      <c r="E3" s="5">
        <v>29.0</v>
      </c>
      <c r="F3" s="5">
        <v>25.0</v>
      </c>
      <c r="G3" s="5">
        <v>21.0</v>
      </c>
      <c r="H3" s="5">
        <v>30.0</v>
      </c>
      <c r="I3" s="5">
        <v>12.0</v>
      </c>
      <c r="J3" s="5">
        <v>19.0</v>
      </c>
      <c r="K3" s="5">
        <v>18.0</v>
      </c>
      <c r="L3" s="5">
        <v>20.0</v>
      </c>
      <c r="M3" s="4">
        <f t="shared" si="1"/>
        <v>248</v>
      </c>
    </row>
    <row r="4">
      <c r="A4" s="3" t="s">
        <v>47</v>
      </c>
      <c r="B4" s="4">
        <v>35.0</v>
      </c>
      <c r="C4" s="5">
        <v>32.0</v>
      </c>
      <c r="D4" s="5">
        <v>65.0</v>
      </c>
      <c r="E4" s="5">
        <v>22.0</v>
      </c>
      <c r="F4" s="5">
        <v>23.0</v>
      </c>
      <c r="G4" s="5">
        <v>24.0</v>
      </c>
      <c r="H4" s="5">
        <v>16.0</v>
      </c>
      <c r="I4" s="5">
        <v>27.0</v>
      </c>
      <c r="J4" s="5">
        <v>26.0</v>
      </c>
      <c r="K4" s="5">
        <v>21.0</v>
      </c>
      <c r="L4" s="5">
        <v>24.0</v>
      </c>
      <c r="M4" s="4">
        <f t="shared" si="1"/>
        <v>248</v>
      </c>
    </row>
    <row r="5">
      <c r="A5" s="3" t="s">
        <v>50</v>
      </c>
      <c r="B5" s="4">
        <v>14.0</v>
      </c>
      <c r="C5" s="5">
        <v>13.0</v>
      </c>
      <c r="D5" s="5">
        <v>29.0</v>
      </c>
      <c r="E5" s="5">
        <v>22.0</v>
      </c>
      <c r="F5" s="5">
        <v>4.0</v>
      </c>
      <c r="G5" s="5">
        <v>18.0</v>
      </c>
      <c r="H5" s="5">
        <v>14.0</v>
      </c>
      <c r="I5" s="5">
        <v>22.0</v>
      </c>
      <c r="J5" s="5">
        <v>10.0</v>
      </c>
      <c r="K5" s="5">
        <v>11.0</v>
      </c>
      <c r="L5" s="5">
        <v>9.0</v>
      </c>
      <c r="M5" s="4">
        <f t="shared" si="1"/>
        <v>139</v>
      </c>
    </row>
    <row r="6">
      <c r="A6" s="3" t="s">
        <v>52</v>
      </c>
      <c r="B6" s="4">
        <v>24.0</v>
      </c>
      <c r="C6" s="5">
        <v>21.0</v>
      </c>
      <c r="D6" s="5">
        <v>54.0</v>
      </c>
      <c r="E6" s="5">
        <v>37.0</v>
      </c>
      <c r="F6" s="5">
        <v>7.0</v>
      </c>
      <c r="G6" s="5">
        <v>23.0</v>
      </c>
      <c r="H6" s="5">
        <v>26.0</v>
      </c>
      <c r="I6" s="5">
        <v>28.0</v>
      </c>
      <c r="J6" s="5">
        <v>15.0</v>
      </c>
      <c r="K6" s="5">
        <v>21.0</v>
      </c>
      <c r="L6" s="5">
        <v>28.0</v>
      </c>
      <c r="M6" s="4">
        <f t="shared" si="1"/>
        <v>239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5</v>
      </c>
      <c r="B1" s="1" t="s">
        <v>2</v>
      </c>
      <c r="C1" s="1" t="s">
        <v>3</v>
      </c>
      <c r="D1" s="1" t="s">
        <v>14</v>
      </c>
      <c r="E1" s="1" t="s">
        <v>17</v>
      </c>
      <c r="F1" s="1" t="s">
        <v>19</v>
      </c>
      <c r="G1" s="1" t="s">
        <v>21</v>
      </c>
      <c r="H1" s="1" t="s">
        <v>24</v>
      </c>
      <c r="I1" s="1" t="s">
        <v>16</v>
      </c>
    </row>
    <row r="2">
      <c r="A2" s="3" t="s">
        <v>29</v>
      </c>
      <c r="B2" s="4">
        <v>8.0</v>
      </c>
      <c r="C2" s="5">
        <v>8.0</v>
      </c>
      <c r="D2" s="5">
        <v>26.0</v>
      </c>
      <c r="E2" s="5">
        <v>21.0</v>
      </c>
      <c r="F2" s="5">
        <v>15.0</v>
      </c>
      <c r="G2" s="5">
        <v>21.0</v>
      </c>
      <c r="H2" s="5">
        <v>20.0</v>
      </c>
      <c r="I2" s="4">
        <f t="shared" ref="I2:I4" si="1">IF(COUNT(D2:H2)&gt;0, SUM(D2:H2), 0)</f>
        <v>103</v>
      </c>
    </row>
    <row r="3">
      <c r="A3" s="3" t="s">
        <v>45</v>
      </c>
      <c r="B3" s="5">
        <v>18.0</v>
      </c>
      <c r="C3" s="5">
        <v>16.0</v>
      </c>
      <c r="D3" s="5">
        <v>59.0</v>
      </c>
      <c r="E3" s="5">
        <v>32.0</v>
      </c>
      <c r="F3" s="5">
        <v>24.0</v>
      </c>
      <c r="G3" s="5">
        <v>43.0</v>
      </c>
      <c r="H3" s="5">
        <v>8.0</v>
      </c>
      <c r="I3" s="4">
        <f t="shared" si="1"/>
        <v>166</v>
      </c>
    </row>
    <row r="4">
      <c r="A4" s="3" t="s">
        <v>48</v>
      </c>
      <c r="B4" s="4">
        <v>20.0</v>
      </c>
      <c r="C4" s="5">
        <v>19.0</v>
      </c>
      <c r="D4" s="5">
        <v>61.0</v>
      </c>
      <c r="E4" s="5">
        <v>30.0</v>
      </c>
      <c r="F4" s="5">
        <v>22.0</v>
      </c>
      <c r="G4" s="5">
        <v>57.0</v>
      </c>
      <c r="H4" s="5">
        <v>25.0</v>
      </c>
      <c r="I4" s="4">
        <f t="shared" si="1"/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2" t="s">
        <v>6</v>
      </c>
      <c r="B1" s="2" t="s">
        <v>26</v>
      </c>
      <c r="C1" s="2" t="s">
        <v>27</v>
      </c>
      <c r="D1" s="2" t="s">
        <v>28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</row>
    <row r="2" ht="27.75" customHeight="1">
      <c r="A2" s="6" t="s">
        <v>43</v>
      </c>
      <c r="B2" s="7">
        <f t="shared" ref="B2:C2" si="1">IFERROR(SUM(B3:B21), 0)</f>
        <v>464</v>
      </c>
      <c r="C2" s="7">
        <f t="shared" si="1"/>
        <v>501</v>
      </c>
      <c r="D2" s="8">
        <f t="shared" ref="D2:D21" si="3">IF(AND(ISNUMBER(C2), C2&gt;0, ISNUMBER(B2)), B2/C2, 0)</f>
        <v>0.9261477046</v>
      </c>
      <c r="E2" s="8">
        <f t="shared" ref="E2:P2" si="2">IFERROR(AVERAGEIF(E3:E21, "&gt;0"), 0)</f>
        <v>0.4849501074</v>
      </c>
      <c r="F2" s="8">
        <f t="shared" si="2"/>
        <v>0.5956254141</v>
      </c>
      <c r="G2" s="8">
        <f t="shared" si="2"/>
        <v>0.3192349138</v>
      </c>
      <c r="H2" s="8">
        <f t="shared" si="2"/>
        <v>0.5256410256</v>
      </c>
      <c r="I2" s="8">
        <f t="shared" si="2"/>
        <v>0.2997490177</v>
      </c>
      <c r="J2" s="8">
        <f t="shared" si="2"/>
        <v>0.4284380686</v>
      </c>
      <c r="K2" s="8">
        <f t="shared" si="2"/>
        <v>0.5011832719</v>
      </c>
      <c r="L2" s="8">
        <f t="shared" si="2"/>
        <v>0.5214606356</v>
      </c>
      <c r="M2" s="8">
        <f t="shared" si="2"/>
        <v>0.6045468948</v>
      </c>
      <c r="N2" s="8">
        <f t="shared" si="2"/>
        <v>0.3599769579</v>
      </c>
      <c r="O2" s="8">
        <f t="shared" si="2"/>
        <v>0.4492452949</v>
      </c>
      <c r="P2" s="8">
        <f t="shared" si="2"/>
        <v>0.4835129224</v>
      </c>
    </row>
    <row r="3" ht="21.75" customHeight="1">
      <c r="A3" s="9" t="s">
        <v>22</v>
      </c>
      <c r="B3" s="10">
        <f>'6º ao 9º EFAF'!C2</f>
        <v>34</v>
      </c>
      <c r="C3" s="10">
        <f>'6º ao 9º EFAF'!B2</f>
        <v>34</v>
      </c>
      <c r="D3" s="11">
        <f t="shared" si="3"/>
        <v>1</v>
      </c>
      <c r="E3" s="12" t="s">
        <v>60</v>
      </c>
      <c r="F3" s="13">
        <f>IF(AND(ISNUMBER(B3), B3&gt;0, ISNUMBER('6º ao 9º EFAF'!G2)), ('6º ao 9º EFAF'!G2/(B3*3)), 0)</f>
        <v>0.5392156863</v>
      </c>
      <c r="G3" s="12" t="s">
        <v>60</v>
      </c>
      <c r="H3" s="12" t="s">
        <v>60</v>
      </c>
      <c r="I3" s="12" t="s">
        <v>60</v>
      </c>
      <c r="J3" s="13">
        <f>IF(AND(ISNUMBER(B3), B3&gt;0, ISNUMBER('6º ao 9º EFAF'!I2)), ('6º ao 9º EFAF'!I2/(B3*3)), 0)</f>
        <v>0.7156862745</v>
      </c>
      <c r="K3" s="13">
        <f>IF(AND(ISNUMBER(B3), B3&gt;0, ISNUMBER('6º ao 9º EFAF'!H2)), ('6º ao 9º EFAF'!H2/(B3*3)), 0)</f>
        <v>0.2647058824</v>
      </c>
      <c r="L3" s="13">
        <f>IF(AND(ISNUMBER(B3), B3&gt;0, ISNUMBER('6º ao 9º EFAF'!F2)), ('6º ao 9º EFAF'!F2/(B3*3)), 0)</f>
        <v>0.7450980392</v>
      </c>
      <c r="M3" s="13">
        <f>IF(AND(ISNUMBER(B3), B3&gt;0, ISNUMBER('6º ao 9º EFAF'!D2)), ('6º ao 9º EFAF'!D2/(B3*4)), 0)</f>
        <v>0.6764705882</v>
      </c>
      <c r="N3" s="13">
        <f>IF(AND(ISNUMBER(B3), B3&gt;0, ISNUMBER('6º ao 9º EFAF'!E2)), ('6º ao 9º EFAF'!E2/(B3*4)), 0)</f>
        <v>0.5735294118</v>
      </c>
      <c r="O3" s="12" t="s">
        <v>60</v>
      </c>
      <c r="P3" s="14">
        <f t="shared" ref="P3:P21" si="4">IFERROR(AVERAGEIF(E3:O3, "&gt;0"), 0)</f>
        <v>0.5857843137</v>
      </c>
    </row>
    <row r="4" ht="21.75" customHeight="1">
      <c r="A4" s="9" t="s">
        <v>46</v>
      </c>
      <c r="B4" s="10">
        <f>'6º ao 9º EFAF'!C3</f>
        <v>30</v>
      </c>
      <c r="C4" s="10">
        <f>'6º ao 9º EFAF'!B3</f>
        <v>33</v>
      </c>
      <c r="D4" s="11">
        <f t="shared" si="3"/>
        <v>0.9090909091</v>
      </c>
      <c r="E4" s="12" t="s">
        <v>60</v>
      </c>
      <c r="F4" s="13">
        <f>IF(AND(ISNUMBER(B4), B4&gt;0, ISNUMBER('6º ao 9º EFAF'!G3)), ('6º ao 9º EFAF'!G3/(B4*3)), 0)</f>
        <v>0.3444444444</v>
      </c>
      <c r="G4" s="12" t="s">
        <v>60</v>
      </c>
      <c r="H4" s="12" t="s">
        <v>60</v>
      </c>
      <c r="I4" s="12" t="s">
        <v>60</v>
      </c>
      <c r="J4" s="13">
        <f>IF(AND(ISNUMBER(B4), B4&gt;0, ISNUMBER('6º ao 9º EFAF'!I3)), ('6º ao 9º EFAF'!I3/(B4*3)), 0)</f>
        <v>0.5222222222</v>
      </c>
      <c r="K4" s="13">
        <f>IF(AND(ISNUMBER(B4), B4&gt;0, ISNUMBER('6º ao 9º EFAF'!H3)), ('6º ao 9º EFAF'!H3/(B4*3)), 0)</f>
        <v>0.3111111111</v>
      </c>
      <c r="L4" s="13">
        <f>IF(AND(ISNUMBER(B4), B4&gt;0, ISNUMBER('6º ao 9º EFAF'!F3)), ('6º ao 9º EFAF'!F3/(B4*3)), 0)</f>
        <v>0.6111111111</v>
      </c>
      <c r="M4" s="13">
        <f>IF(AND(ISNUMBER(B4), B4&gt;0, ISNUMBER('6º ao 9º EFAF'!D3)), ('6º ao 9º EFAF'!D3/(B4*4)), 0)</f>
        <v>0.7333333333</v>
      </c>
      <c r="N4" s="13">
        <f>IF(AND(ISNUMBER(B4), B4&gt;0, ISNUMBER('6º ao 9º EFAF'!E3)), ('6º ao 9º EFAF'!E3/(B4*4)), 0)</f>
        <v>0.4916666667</v>
      </c>
      <c r="O4" s="12" t="s">
        <v>60</v>
      </c>
      <c r="P4" s="14">
        <f t="shared" si="4"/>
        <v>0.5023148148</v>
      </c>
    </row>
    <row r="5" ht="21.75" customHeight="1">
      <c r="A5" s="9" t="s">
        <v>49</v>
      </c>
      <c r="B5" s="10">
        <f>'6º ao 9º EFAF'!C4</f>
        <v>24</v>
      </c>
      <c r="C5" s="10">
        <f>'6º ao 9º EFAF'!B4</f>
        <v>27</v>
      </c>
      <c r="D5" s="11">
        <f t="shared" si="3"/>
        <v>0.8888888889</v>
      </c>
      <c r="E5" s="12" t="s">
        <v>60</v>
      </c>
      <c r="F5" s="13">
        <f>IF(AND(ISNUMBER(B5), B5&gt;0, ISNUMBER('6º ao 9º EFAF'!G4)), ('6º ao 9º EFAF'!G4/(B5*3)), 0)</f>
        <v>0.5972222222</v>
      </c>
      <c r="G5" s="12" t="s">
        <v>60</v>
      </c>
      <c r="H5" s="12" t="s">
        <v>60</v>
      </c>
      <c r="I5" s="12" t="s">
        <v>60</v>
      </c>
      <c r="J5" s="13">
        <f>IF(AND(ISNUMBER(B5), B5&gt;0, ISNUMBER('6º ao 9º EFAF'!I4)), ('6º ao 9º EFAF'!I4/(B5*3)), 0)</f>
        <v>0.5555555556</v>
      </c>
      <c r="K5" s="13">
        <f>IF(AND(ISNUMBER(B5), B5&gt;0, ISNUMBER('6º ao 9º EFAF'!H4)), ('6º ao 9º EFAF'!H4/(B5*3)), 0)</f>
        <v>0.5416666667</v>
      </c>
      <c r="L5" s="13">
        <f>IF(AND(ISNUMBER(B5), B5&gt;0, ISNUMBER('6º ao 9º EFAF'!F4)), ('6º ao 9º EFAF'!F4/(B5*3)), 0)</f>
        <v>0.5277777778</v>
      </c>
      <c r="M5" s="13">
        <f>IF(AND(ISNUMBER(B5), B5&gt;0, ISNUMBER('6º ao 9º EFAF'!D4)), ('6º ao 9º EFAF'!D4/(B5*4)), 0)</f>
        <v>0.3854166667</v>
      </c>
      <c r="N5" s="13">
        <f>IF(AND(ISNUMBER(B5), B5&gt;0, ISNUMBER('6º ao 9º EFAF'!E4)), ('6º ao 9º EFAF'!E4/(B5*4)), 0)</f>
        <v>0.2708333333</v>
      </c>
      <c r="O5" s="12" t="s">
        <v>60</v>
      </c>
      <c r="P5" s="14">
        <f t="shared" si="4"/>
        <v>0.4797453704</v>
      </c>
    </row>
    <row r="6" ht="21.75" customHeight="1">
      <c r="A6" s="9" t="s">
        <v>51</v>
      </c>
      <c r="B6" s="10">
        <f>'6º ao 9º EFAF'!C5</f>
        <v>23</v>
      </c>
      <c r="C6" s="10">
        <f>'6º ao 9º EFAF'!B5</f>
        <v>25</v>
      </c>
      <c r="D6" s="11">
        <f t="shared" si="3"/>
        <v>0.92</v>
      </c>
      <c r="E6" s="12" t="s">
        <v>60</v>
      </c>
      <c r="F6" s="13">
        <f>IF(AND(ISNUMBER(B6), B6&gt;0, ISNUMBER('6º ao 9º EFAF'!G5)), ('6º ao 9º EFAF'!G5/(B6*3)), 0)</f>
        <v>0.5217391304</v>
      </c>
      <c r="G6" s="12" t="s">
        <v>60</v>
      </c>
      <c r="H6" s="12" t="s">
        <v>60</v>
      </c>
      <c r="I6" s="12" t="s">
        <v>60</v>
      </c>
      <c r="J6" s="13">
        <f>IF(AND(ISNUMBER(B6), B6&gt;0, ISNUMBER('6º ao 9º EFAF'!I5)), ('6º ao 9º EFAF'!I5/(B6*3)), 0)</f>
        <v>0.3913043478</v>
      </c>
      <c r="K6" s="13">
        <f>IF(AND(ISNUMBER(B6), B6&gt;0, ISNUMBER('6º ao 9º EFAF'!H5)), ('6º ao 9º EFAF'!H5/(B6*3)), 0)</f>
        <v>0.3768115942</v>
      </c>
      <c r="L6" s="13">
        <f>IF(AND(ISNUMBER(B6), B6&gt;0, ISNUMBER('6º ao 9º EFAF'!F5)), ('6º ao 9º EFAF'!F5/(B6*3)), 0)</f>
        <v>0.5362318841</v>
      </c>
      <c r="M6" s="13">
        <f>IF(AND(ISNUMBER(B6), B6&gt;0, ISNUMBER('6º ao 9º EFAF'!D5)), ('6º ao 9º EFAF'!D5/(B6*4)), 0)</f>
        <v>0.5108695652</v>
      </c>
      <c r="N6" s="13">
        <f>IF(AND(ISNUMBER(B6), B6&gt;0, ISNUMBER('6º ao 9º EFAF'!E5)), ('6º ao 9º EFAF'!E5/(B6*4)), 0)</f>
        <v>0.1630434783</v>
      </c>
      <c r="O6" s="12" t="s">
        <v>60</v>
      </c>
      <c r="P6" s="14">
        <f t="shared" si="4"/>
        <v>0.4166666667</v>
      </c>
    </row>
    <row r="7" ht="21.75" customHeight="1">
      <c r="A7" s="9" t="s">
        <v>53</v>
      </c>
      <c r="B7" s="10">
        <f>'6º ao 9º EFAF'!C6</f>
        <v>30</v>
      </c>
      <c r="C7" s="10">
        <f>'6º ao 9º EFAF'!B6</f>
        <v>31</v>
      </c>
      <c r="D7" s="11">
        <f t="shared" si="3"/>
        <v>0.9677419355</v>
      </c>
      <c r="E7" s="12" t="s">
        <v>60</v>
      </c>
      <c r="F7" s="13">
        <f>IF(AND(ISNUMBER(B7), B7&gt;0, ISNUMBER('6º ao 9º EFAF'!G6)), ('6º ao 9º EFAF'!G6/(B7*3)), 0)</f>
        <v>0.6222222222</v>
      </c>
      <c r="G7" s="12" t="s">
        <v>60</v>
      </c>
      <c r="H7" s="12" t="s">
        <v>60</v>
      </c>
      <c r="I7" s="12" t="s">
        <v>60</v>
      </c>
      <c r="J7" s="13">
        <f>IF(AND(ISNUMBER(B7), B7&gt;0, ISNUMBER('6º ao 9º EFAF'!I6)), ('6º ao 9º EFAF'!I6/(B7*3)), 0)</f>
        <v>0.5333333333</v>
      </c>
      <c r="K7" s="13">
        <f>IF(AND(ISNUMBER(B7), B7&gt;0, ISNUMBER('6º ao 9º EFAF'!H6)), ('6º ao 9º EFAF'!H6/(B7*3)), 0)</f>
        <v>0.5222222222</v>
      </c>
      <c r="L7" s="13">
        <f>IF(AND(ISNUMBER(B7), B7&gt;0, ISNUMBER('6º ao 9º EFAF'!F6)), ('6º ao 9º EFAF'!F6/(B7*3)), 0)</f>
        <v>0.4222222222</v>
      </c>
      <c r="M7" s="13">
        <f>IF(AND(ISNUMBER(B7), B7&gt;0, ISNUMBER('6º ao 9º EFAF'!D6)), ('6º ao 9º EFAF'!D6/(B7*4)), 0)</f>
        <v>0.5166666667</v>
      </c>
      <c r="N7" s="13">
        <f>IF(AND(ISNUMBER(B7), B7&gt;0, ISNUMBER('6º ao 9º EFAF'!E6)), ('6º ao 9º EFAF'!E6/(B7*4)), 0)</f>
        <v>0.375</v>
      </c>
      <c r="O7" s="12" t="s">
        <v>60</v>
      </c>
      <c r="P7" s="14">
        <f t="shared" si="4"/>
        <v>0.4986111111</v>
      </c>
    </row>
    <row r="8" ht="21.75" customHeight="1">
      <c r="A8" s="9" t="s">
        <v>54</v>
      </c>
      <c r="B8" s="10">
        <f>'6º ao 9º EFAF'!C7</f>
        <v>27</v>
      </c>
      <c r="C8" s="10">
        <f>'6º ao 9º EFAF'!B7</f>
        <v>29</v>
      </c>
      <c r="D8" s="11">
        <f t="shared" si="3"/>
        <v>0.9310344828</v>
      </c>
      <c r="E8" s="12" t="s">
        <v>60</v>
      </c>
      <c r="F8" s="13">
        <f>IF(AND(ISNUMBER(B8), B8&gt;0, ISNUMBER('6º ao 9º EFAF'!G7)), ('6º ao 9º EFAF'!G7/(B8*3)), 0)</f>
        <v>0.6543209877</v>
      </c>
      <c r="G8" s="12" t="s">
        <v>60</v>
      </c>
      <c r="H8" s="12" t="s">
        <v>60</v>
      </c>
      <c r="I8" s="12" t="s">
        <v>60</v>
      </c>
      <c r="J8" s="13">
        <f>IF(AND(ISNUMBER(B8), B8&gt;0, ISNUMBER('6º ao 9º EFAF'!I7)), ('6º ao 9º EFAF'!I7/(B8*3)), 0)</f>
        <v>0.2345679012</v>
      </c>
      <c r="K8" s="13">
        <f>IF(AND(ISNUMBER(B8), B8&gt;0, ISNUMBER('6º ao 9º EFAF'!H7)), ('6º ao 9º EFAF'!H7/(B8*3)), 0)</f>
        <v>0.5432098765</v>
      </c>
      <c r="L8" s="13">
        <f>IF(AND(ISNUMBER(B8), B8&gt;0, ISNUMBER('6º ao 9º EFAF'!F7)), ('6º ao 9º EFAF'!F7/(B8*3)), 0)</f>
        <v>0.7160493827</v>
      </c>
      <c r="M8" s="13">
        <f>IF(AND(ISNUMBER(B8), B8&gt;0, ISNUMBER('6º ao 9º EFAF'!D7)), ('6º ao 9º EFAF'!D7/(B8*4)), 0)</f>
        <v>0.75</v>
      </c>
      <c r="N8" s="13">
        <f>IF(AND(ISNUMBER(B8), B8&gt;0, ISNUMBER('6º ao 9º EFAF'!E7)), ('6º ao 9º EFAF'!E7/(B8*4)), 0)</f>
        <v>0.4351851852</v>
      </c>
      <c r="O8" s="12" t="s">
        <v>60</v>
      </c>
      <c r="P8" s="14">
        <f t="shared" si="4"/>
        <v>0.5555555556</v>
      </c>
    </row>
    <row r="9" ht="21.75" customHeight="1">
      <c r="A9" s="9" t="s">
        <v>55</v>
      </c>
      <c r="B9" s="10">
        <f>'6º ao 9º EFAF'!C8</f>
        <v>26</v>
      </c>
      <c r="C9" s="10">
        <f>'6º ao 9º EFAF'!B8</f>
        <v>29</v>
      </c>
      <c r="D9" s="11">
        <f t="shared" si="3"/>
        <v>0.8965517241</v>
      </c>
      <c r="E9" s="12" t="s">
        <v>60</v>
      </c>
      <c r="F9" s="13">
        <f>IF(AND(ISNUMBER(B9), B9&gt;0, ISNUMBER('6º ao 9º EFAF'!G8)), ('6º ao 9º EFAF'!G8/(B9*3)), 0)</f>
        <v>0.6153846154</v>
      </c>
      <c r="G9" s="12" t="s">
        <v>60</v>
      </c>
      <c r="H9" s="12" t="s">
        <v>60</v>
      </c>
      <c r="I9" s="12" t="s">
        <v>60</v>
      </c>
      <c r="J9" s="13">
        <f>IF(AND(ISNUMBER(B9), B9&gt;0, ISNUMBER('6º ao 9º EFAF'!I8)), ('6º ao 9º EFAF'!I8/(B9*3)), 0)</f>
        <v>0.2564102564</v>
      </c>
      <c r="K9" s="13">
        <f>IF(AND(ISNUMBER(B9), B9&gt;0, ISNUMBER('6º ao 9º EFAF'!H8)), ('6º ao 9º EFAF'!H8/(B9*3)), 0)</f>
        <v>0.3846153846</v>
      </c>
      <c r="L9" s="13">
        <f>IF(AND(ISNUMBER(B9), B9&gt;0, ISNUMBER('6º ao 9º EFAF'!F8)), ('6º ao 9º EFAF'!F8/(B9*3)), 0)</f>
        <v>0.5512820513</v>
      </c>
      <c r="M9" s="13">
        <f>IF(AND(ISNUMBER(B9), B9&gt;0, ISNUMBER('6º ao 9º EFAF'!D8)), ('6º ao 9º EFAF'!D8/(B9*4)), 0)</f>
        <v>0.6442307692</v>
      </c>
      <c r="N9" s="13">
        <f>IF(AND(ISNUMBER(B9), B9&gt;0, ISNUMBER('6º ao 9º EFAF'!E8)), ('6º ao 9º EFAF'!E8/(B9*4)), 0)</f>
        <v>0.2211538462</v>
      </c>
      <c r="O9" s="12" t="s">
        <v>60</v>
      </c>
      <c r="P9" s="14">
        <f t="shared" si="4"/>
        <v>0.4455128205</v>
      </c>
    </row>
    <row r="10" ht="21.75" customHeight="1">
      <c r="A10" s="9" t="s">
        <v>56</v>
      </c>
      <c r="B10" s="10">
        <f>'6º ao 9º EFAF'!C9</f>
        <v>32</v>
      </c>
      <c r="C10" s="10">
        <f>'6º ao 9º EFAF'!B9</f>
        <v>32</v>
      </c>
      <c r="D10" s="11">
        <f t="shared" si="3"/>
        <v>1</v>
      </c>
      <c r="E10" s="12" t="s">
        <v>60</v>
      </c>
      <c r="F10" s="13">
        <f>IF(AND(ISNUMBER(B10), B10&gt;0, ISNUMBER('6º ao 9º EFAF'!G9)), ('6º ao 9º EFAF'!G9/(B10*3)), 0)</f>
        <v>0.6770833333</v>
      </c>
      <c r="G10" s="12" t="s">
        <v>60</v>
      </c>
      <c r="H10" s="12" t="s">
        <v>60</v>
      </c>
      <c r="I10" s="12" t="s">
        <v>60</v>
      </c>
      <c r="J10" s="13">
        <f>IF(AND(ISNUMBER(B10), B10&gt;0, ISNUMBER('6º ao 9º EFAF'!I9)), ('6º ao 9º EFAF'!I9/(B10*3)), 0)</f>
        <v>0.3125</v>
      </c>
      <c r="K10" s="13">
        <f>IF(AND(ISNUMBER(B10), B10&gt;0, ISNUMBER('6º ao 9º EFAF'!H9)), ('6º ao 9º EFAF'!H9/(B10*3)), 0)</f>
        <v>0.59375</v>
      </c>
      <c r="L10" s="13">
        <f>IF(AND(ISNUMBER(B10), B10&gt;0, ISNUMBER('6º ao 9º EFAF'!F9)), ('6º ao 9º EFAF'!F9/(B10*3)), 0)</f>
        <v>0.6458333333</v>
      </c>
      <c r="M10" s="13">
        <f>IF(AND(ISNUMBER(B10), B10&gt;0, ISNUMBER('6º ao 9º EFAF'!D9)), ('6º ao 9º EFAF'!D9/(B10*4)), 0)</f>
        <v>0.6796875</v>
      </c>
      <c r="N10" s="13">
        <f>IF(AND(ISNUMBER(B10), B10&gt;0, ISNUMBER('6º ao 9º EFAF'!E9)), ('6º ao 9º EFAF'!E9/(B10*4)), 0)</f>
        <v>0.390625</v>
      </c>
      <c r="O10" s="12" t="s">
        <v>60</v>
      </c>
      <c r="P10" s="14">
        <f t="shared" si="4"/>
        <v>0.5499131944</v>
      </c>
    </row>
    <row r="11" ht="21.75" customHeight="1">
      <c r="A11" s="9" t="s">
        <v>57</v>
      </c>
      <c r="B11" s="10">
        <f>'6º ao 9º EFAF'!C10</f>
        <v>30</v>
      </c>
      <c r="C11" s="10">
        <f>'6º ao 9º EFAF'!B10</f>
        <v>31</v>
      </c>
      <c r="D11" s="11">
        <f t="shared" si="3"/>
        <v>0.9677419355</v>
      </c>
      <c r="E11" s="12" t="s">
        <v>60</v>
      </c>
      <c r="F11" s="13">
        <f>IF(AND(ISNUMBER(B11), B11&gt;0, ISNUMBER('6º ao 9º EFAF'!G10)), ('6º ao 9º EFAF'!G10/(B11*3)), 0)</f>
        <v>0.6444444444</v>
      </c>
      <c r="G11" s="12" t="s">
        <v>60</v>
      </c>
      <c r="H11" s="12" t="s">
        <v>60</v>
      </c>
      <c r="I11" s="12" t="s">
        <v>60</v>
      </c>
      <c r="J11" s="13">
        <f>IF(AND(ISNUMBER(B11), B11&gt;0, ISNUMBER('6º ao 9º EFAF'!I10)), ('6º ao 9º EFAF'!I10/(B11*3)), 0)</f>
        <v>0.5</v>
      </c>
      <c r="K11" s="13">
        <f>IF(AND(ISNUMBER(B11), B11&gt;0, ISNUMBER('6º ao 9º EFAF'!H10)), ('6º ao 9º EFAF'!H10/(B11*3)), 0)</f>
        <v>0.1888888889</v>
      </c>
      <c r="L11" s="13">
        <f>IF(AND(ISNUMBER(B11), B11&gt;0, ISNUMBER('6º ao 9º EFAF'!F10)), ('6º ao 9º EFAF'!F10/(B11*3)), 0)</f>
        <v>0.4222222222</v>
      </c>
      <c r="M11" s="13">
        <f>IF(AND(ISNUMBER(B11), B11&gt;0, ISNUMBER('6º ao 9º EFAF'!D10)), ('6º ao 9º EFAF'!D10/(B11*4)), 0)</f>
        <v>0.5916666667</v>
      </c>
      <c r="N11" s="13">
        <f>IF(AND(ISNUMBER(B11), B11&gt;0, ISNUMBER('6º ao 9º EFAF'!E10)), ('6º ao 9º EFAF'!E10/(B11*4)), 0)</f>
        <v>0.2833333333</v>
      </c>
      <c r="O11" s="12" t="s">
        <v>60</v>
      </c>
      <c r="P11" s="14">
        <f t="shared" si="4"/>
        <v>0.4384259259</v>
      </c>
    </row>
    <row r="12" ht="21.75" customHeight="1">
      <c r="A12" s="9" t="s">
        <v>58</v>
      </c>
      <c r="B12" s="10">
        <f>'6º ao 9º EFAF'!C11</f>
        <v>30</v>
      </c>
      <c r="C12" s="10">
        <f>'6º ao 9º EFAF'!B11</f>
        <v>35</v>
      </c>
      <c r="D12" s="11">
        <f t="shared" si="3"/>
        <v>0.8571428571</v>
      </c>
      <c r="E12" s="12" t="s">
        <v>60</v>
      </c>
      <c r="F12" s="13">
        <f>IF(AND(ISNUMBER(B12), B12&gt;0, ISNUMBER('6º ao 9º EFAF'!G11)), ('6º ao 9º EFAF'!G11/(B12*3)), 0)</f>
        <v>0.7555555556</v>
      </c>
      <c r="G12" s="12" t="s">
        <v>60</v>
      </c>
      <c r="H12" s="12" t="s">
        <v>60</v>
      </c>
      <c r="I12" s="12" t="s">
        <v>60</v>
      </c>
      <c r="J12" s="13">
        <f>IF(AND(ISNUMBER(B12), B12&gt;0, ISNUMBER('6º ao 9º EFAF'!I11)), ('6º ao 9º EFAF'!I11/(B12*3)), 0)</f>
        <v>0.4888888889</v>
      </c>
      <c r="K12" s="13">
        <f>IF(AND(ISNUMBER(B12), B12&gt;0, ISNUMBER('6º ao 9º EFAF'!H11)), ('6º ao 9º EFAF'!H11/(B12*3)), 0)</f>
        <v>0.4333333333</v>
      </c>
      <c r="L12" s="13">
        <f>IF(AND(ISNUMBER(B12), B12&gt;0, ISNUMBER('6º ao 9º EFAF'!F11)), ('6º ao 9º EFAF'!F11/(B12*3)), 0)</f>
        <v>0.6111111111</v>
      </c>
      <c r="M12" s="13">
        <f>IF(AND(ISNUMBER(B12), B12&gt;0, ISNUMBER('6º ao 9º EFAF'!D11)), ('6º ao 9º EFAF'!D11/(B12*4)), 0)</f>
        <v>0.5416666667</v>
      </c>
      <c r="N12" s="13">
        <f>IF(AND(ISNUMBER(B12), B12&gt;0, ISNUMBER('6º ao 9º EFAF'!E11)), ('6º ao 9º EFAF'!E11/(B12*4)), 0)</f>
        <v>0.4166666667</v>
      </c>
      <c r="O12" s="12" t="s">
        <v>60</v>
      </c>
      <c r="P12" s="14">
        <f t="shared" si="4"/>
        <v>0.5412037037</v>
      </c>
    </row>
    <row r="13" ht="21.75" customHeight="1">
      <c r="A13" s="9" t="s">
        <v>59</v>
      </c>
      <c r="B13" s="10">
        <f>'6º ao 9º EFAF'!C12</f>
        <v>27</v>
      </c>
      <c r="C13" s="10">
        <f>'6º ao 9º EFAF'!B12</f>
        <v>29</v>
      </c>
      <c r="D13" s="11">
        <f t="shared" si="3"/>
        <v>0.9310344828</v>
      </c>
      <c r="E13" s="12" t="s">
        <v>60</v>
      </c>
      <c r="F13" s="13">
        <f>IF(AND(ISNUMBER(B13), B13&gt;0, ISNUMBER('6º ao 9º EFAF'!G12)), ('6º ao 9º EFAF'!G12/(B13*3)), 0)</f>
        <v>0.5802469136</v>
      </c>
      <c r="G13" s="12" t="s">
        <v>60</v>
      </c>
      <c r="H13" s="12" t="s">
        <v>60</v>
      </c>
      <c r="I13" s="12" t="s">
        <v>60</v>
      </c>
      <c r="J13" s="13">
        <f>IF(AND(ISNUMBER(B13), B13&gt;0, ISNUMBER('6º ao 9º EFAF'!I12)), ('6º ao 9º EFAF'!I12/(B13*3)), 0)</f>
        <v>0.4074074074</v>
      </c>
      <c r="K13" s="13">
        <f>IF(AND(ISNUMBER(B13), B13&gt;0, ISNUMBER('6º ao 9º EFAF'!H12)), ('6º ao 9º EFAF'!H12/(B13*3)), 0)</f>
        <v>0.2962962963</v>
      </c>
      <c r="L13" s="13">
        <f>IF(AND(ISNUMBER(B13), B13&gt;0, ISNUMBER('6º ao 9º EFAF'!F12)), ('6º ao 9º EFAF'!F12/(B13*3)), 0)</f>
        <v>0.3456790123</v>
      </c>
      <c r="M13" s="13">
        <f>IF(AND(ISNUMBER(B13), B13&gt;0, ISNUMBER('6º ao 9º EFAF'!D12)), ('6º ao 9º EFAF'!D12/(B13*4)), 0)</f>
        <v>0.4074074074</v>
      </c>
      <c r="N13" s="13">
        <f>IF(AND(ISNUMBER(B13), B13&gt;0, ISNUMBER('6º ao 9º EFAF'!E12)), ('6º ao 9º EFAF'!E12/(B13*4)), 0)</f>
        <v>0.25</v>
      </c>
      <c r="O13" s="12" t="s">
        <v>60</v>
      </c>
      <c r="P13" s="14">
        <f t="shared" si="4"/>
        <v>0.3811728395</v>
      </c>
    </row>
    <row r="14" ht="21.75" customHeight="1">
      <c r="A14" s="9" t="s">
        <v>30</v>
      </c>
      <c r="B14" s="10">
        <f>'1ª e 2ª EM'!C2</f>
        <v>13</v>
      </c>
      <c r="C14" s="10">
        <f>'1ª e 2ª EM'!B2</f>
        <v>15</v>
      </c>
      <c r="D14" s="11">
        <f t="shared" si="3"/>
        <v>0.8666666667</v>
      </c>
      <c r="E14" s="13">
        <f>IF(AND(ISNUMBER(B14), B14&gt;0, ISNUMBER('1ª e 2ª EM'!H2)), ('1ª e 2ª EM'!H2/(B14*2)), 0)</f>
        <v>0.5</v>
      </c>
      <c r="F14" s="12" t="s">
        <v>60</v>
      </c>
      <c r="G14" s="12" t="s">
        <v>60</v>
      </c>
      <c r="H14" s="13">
        <f>IF(AND(ISNUMBER(B14), B14&gt;0, ISNUMBER('1ª e 2ª EM'!K2)), ('1ª e 2ª EM'!K2/(B14*2)), 0)</f>
        <v>0.6538461538</v>
      </c>
      <c r="I14" s="13">
        <f>IF(AND(ISNUMBER(B14), B14&gt;0, ISNUMBER('1ª e 2ª EM'!F2)), ('1ª e 2ª EM'!F2/(B14*2)), 0)</f>
        <v>0.1538461538</v>
      </c>
      <c r="J14" s="13">
        <f>IF(AND(ISNUMBER(B14), B14&gt;0, ISNUMBER('1ª e 2ª EM'!J2)), ('1ª e 2ª EM'!J2/(B14*2)), 0)</f>
        <v>0.4615384615</v>
      </c>
      <c r="K14" s="13">
        <f>IF(AND(ISNUMBER(B14), B14&gt;0, ISNUMBER('1ª e 2ª EM'!I2)), ('1ª e 2ª EM'!I2/(B14*2)), 0)</f>
        <v>0.8461538462</v>
      </c>
      <c r="L14" s="13">
        <f>IF(AND(ISNUMBER(B14), B14&gt;0, ISNUMBER('1ª e 2ª EM'!L2)), ('1ª e 2ª EM'!L2/(B14*2)), 0)</f>
        <v>0.9615384615</v>
      </c>
      <c r="M14" s="13">
        <f>IF(AND(ISNUMBER(B14), B14&gt;0, ISNUMBER('1ª e 2ª EM'!D2)), ('1ª e 2ª EM'!D2/(B14*4)), 0)</f>
        <v>0.6730769231</v>
      </c>
      <c r="N14" s="13">
        <f>IF(AND(ISNUMBER(B14), B14&gt;0, ISNUMBER('1ª e 2ª EM'!E2)), ('1ª e 2ª EM'!E2/(B14*4)), 0)</f>
        <v>0.4423076923</v>
      </c>
      <c r="O14" s="13">
        <f>IF(AND(ISNUMBER(B14), B14&gt;0, ISNUMBER('1ª e 2ª EM'!G2)), ('1ª e 2ª EM'!G2/(B14*2)), 0)</f>
        <v>0.2692307692</v>
      </c>
      <c r="P14" s="14">
        <f t="shared" si="4"/>
        <v>0.5512820513</v>
      </c>
    </row>
    <row r="15" ht="21.75" customHeight="1">
      <c r="A15" s="9" t="s">
        <v>44</v>
      </c>
      <c r="B15" s="10">
        <f>'1ª e 2ª EM'!C3</f>
        <v>29</v>
      </c>
      <c r="C15" s="10">
        <f>'1ª e 2ª EM'!B3</f>
        <v>32</v>
      </c>
      <c r="D15" s="11">
        <f t="shared" si="3"/>
        <v>0.90625</v>
      </c>
      <c r="E15" s="13">
        <f>IF(AND(ISNUMBER(B15), B15&gt;0, ISNUMBER('1ª e 2ª EM'!H3)), ('1ª e 2ª EM'!H3/(B15*2)), 0)</f>
        <v>0.5172413793</v>
      </c>
      <c r="F15" s="12" t="s">
        <v>60</v>
      </c>
      <c r="G15" s="13">
        <f>IF(AND(ISNUMBER(B15), B15&gt;0, ISNUMBER('1ª e 2ª EM'!K3)), ('1ª e 2ª EM'!K3/(B15*2)), 0)</f>
        <v>0.3103448276</v>
      </c>
      <c r="H15" s="12" t="s">
        <v>60</v>
      </c>
      <c r="I15" s="13">
        <f>IF(AND(ISNUMBER(B15), B15&gt;0, ISNUMBER('1ª e 2ª EM'!F3)), ('1ª e 2ª EM'!F3/(B15*2)), 0)</f>
        <v>0.4310344828</v>
      </c>
      <c r="J15" s="13">
        <f>IF(AND(ISNUMBER(B15), B15&gt;0, ISNUMBER('1ª e 2ª EM'!J3)), ('1ª e 2ª EM'!J3/(B15*2)), 0)</f>
        <v>0.3275862069</v>
      </c>
      <c r="K15" s="13">
        <f>IF(AND(ISNUMBER(B15), B15&gt;0, ISNUMBER('1ª e 2ª EM'!I3)), ('1ª e 2ª EM'!I3/(B15*2)), 0)</f>
        <v>0.2068965517</v>
      </c>
      <c r="L15" s="13">
        <f>IF(AND(ISNUMBER(B15), B15&gt;0, ISNUMBER('1ª e 2ª EM'!L3)), ('1ª e 2ª EM'!L3/(B15*2)), 0)</f>
        <v>0.3448275862</v>
      </c>
      <c r="M15" s="13">
        <f>IF(AND(ISNUMBER(B15), B15&gt;0, ISNUMBER('1ª e 2ª EM'!D3)), ('1ª e 2ª EM'!D3/(B15*4)), 0)</f>
        <v>0.6379310345</v>
      </c>
      <c r="N15" s="13">
        <f>IF(AND(ISNUMBER(B15), B15&gt;0, ISNUMBER('1ª e 2ª EM'!E3)), ('1ª e 2ª EM'!E3/(B15*4)), 0)</f>
        <v>0.25</v>
      </c>
      <c r="O15" s="13">
        <f>IF(AND(ISNUMBER(B15), B15&gt;0, ISNUMBER('1ª e 2ª EM'!G3)), ('1ª e 2ª EM'!G3/(B15*2)), 0)</f>
        <v>0.3620689655</v>
      </c>
      <c r="P15" s="14">
        <f t="shared" si="4"/>
        <v>0.3764367816</v>
      </c>
    </row>
    <row r="16" ht="21.75" customHeight="1">
      <c r="A16" s="9" t="s">
        <v>47</v>
      </c>
      <c r="B16" s="10">
        <f>'1ª e 2ª EM'!C4</f>
        <v>32</v>
      </c>
      <c r="C16" s="10">
        <f>'1ª e 2ª EM'!B4</f>
        <v>35</v>
      </c>
      <c r="D16" s="11">
        <f t="shared" si="3"/>
        <v>0.9142857143</v>
      </c>
      <c r="E16" s="13">
        <f>IF(AND(ISNUMBER(B16), B16&gt;0, ISNUMBER('1ª e 2ª EM'!H4)), ('1ª e 2ª EM'!H4/(B16*2)), 0)</f>
        <v>0.25</v>
      </c>
      <c r="F16" s="12" t="s">
        <v>60</v>
      </c>
      <c r="G16" s="13">
        <f>IF(AND(ISNUMBER(B16), B16&gt;0, ISNUMBER('1ª e 2ª EM'!K4)), ('1ª e 2ª EM'!K4/(B16*2)), 0)</f>
        <v>0.328125</v>
      </c>
      <c r="H16" s="12" t="s">
        <v>60</v>
      </c>
      <c r="I16" s="13">
        <f>IF(AND(ISNUMBER(B16), B16&gt;0, ISNUMBER('1ª e 2ª EM'!F4)), ('1ª e 2ª EM'!F4/(B16*2)), 0)</f>
        <v>0.359375</v>
      </c>
      <c r="J16" s="13">
        <f>IF(AND(ISNUMBER(B16), B16&gt;0, ISNUMBER('1ª e 2ª EM'!J4)), ('1ª e 2ª EM'!J4/(B16*2)), 0)</f>
        <v>0.40625</v>
      </c>
      <c r="K16" s="13">
        <f>IF(AND(ISNUMBER(B16), B16&gt;0, ISNUMBER('1ª e 2ª EM'!I4)), ('1ª e 2ª EM'!I4/(B16*2)), 0)</f>
        <v>0.421875</v>
      </c>
      <c r="L16" s="13">
        <f>IF(AND(ISNUMBER(B16), B16&gt;0, ISNUMBER('1ª e 2ª EM'!L4)), ('1ª e 2ª EM'!L4/(B16*2)), 0)</f>
        <v>0.375</v>
      </c>
      <c r="M16" s="13">
        <f>IF(AND(ISNUMBER(B16), B16&gt;0, ISNUMBER('1ª e 2ª EM'!D4)), ('1ª e 2ª EM'!D4/(B16*4)), 0)</f>
        <v>0.5078125</v>
      </c>
      <c r="N16" s="13">
        <f>IF(AND(ISNUMBER(B16), B16&gt;0, ISNUMBER('1ª e 2ª EM'!E4)), ('1ª e 2ª EM'!E4/(B16*4)), 0)</f>
        <v>0.171875</v>
      </c>
      <c r="O16" s="13">
        <f>IF(AND(ISNUMBER(B16), B16&gt;0, ISNUMBER('1ª e 2ª EM'!G4)), ('1ª e 2ª EM'!G4/(B16*2)), 0)</f>
        <v>0.375</v>
      </c>
      <c r="P16" s="14">
        <f t="shared" si="4"/>
        <v>0.3550347222</v>
      </c>
    </row>
    <row r="17" ht="21.75" customHeight="1">
      <c r="A17" s="9" t="s">
        <v>50</v>
      </c>
      <c r="B17" s="10">
        <f>'1ª e 2ª EM'!C5</f>
        <v>13</v>
      </c>
      <c r="C17" s="10">
        <f>'1ª e 2ª EM'!B5</f>
        <v>14</v>
      </c>
      <c r="D17" s="11">
        <f t="shared" si="3"/>
        <v>0.9285714286</v>
      </c>
      <c r="E17" s="13">
        <f>IF(AND(ISNUMBER(B17), B17&gt;0, ISNUMBER('1ª e 2ª EM'!H5)), ('1ª e 2ª EM'!H5/(B17*2)), 0)</f>
        <v>0.5384615385</v>
      </c>
      <c r="F17" s="12" t="s">
        <v>60</v>
      </c>
      <c r="G17" s="12" t="s">
        <v>60</v>
      </c>
      <c r="H17" s="13">
        <f>IF(AND(ISNUMBER(B17), B17&gt;0, ISNUMBER('1ª e 2ª EM'!K5)), ('1ª e 2ª EM'!K5/(B17*2)), 0)</f>
        <v>0.4230769231</v>
      </c>
      <c r="I17" s="13">
        <f>IF(AND(ISNUMBER(B17), B17&gt;0, ISNUMBER('1ª e 2ª EM'!F5)), ('1ª e 2ª EM'!F5/(B17*2)), 0)</f>
        <v>0.1538461538</v>
      </c>
      <c r="J17" s="13">
        <f>IF(AND(ISNUMBER(B17), B17&gt;0, ISNUMBER('1ª e 2ª EM'!J5)), ('1ª e 2ª EM'!J5/(B17*2)), 0)</f>
        <v>0.3846153846</v>
      </c>
      <c r="K17" s="13">
        <f>IF(AND(ISNUMBER(B17), B17&gt;0, ISNUMBER('1ª e 2ª EM'!I5)), ('1ª e 2ª EM'!I5/(B17*2)), 0)</f>
        <v>0.8461538462</v>
      </c>
      <c r="L17" s="13">
        <f>IF(AND(ISNUMBER(B17), B17&gt;0, ISNUMBER('1ª e 2ª EM'!L5)), ('1ª e 2ª EM'!L5/(B17*2)), 0)</f>
        <v>0.3461538462</v>
      </c>
      <c r="M17" s="13">
        <f>IF(AND(ISNUMBER(B17), B17&gt;0, ISNUMBER('1ª e 2ª EM'!D5)), ('1ª e 2ª EM'!D5/(B17*4)), 0)</f>
        <v>0.5576923077</v>
      </c>
      <c r="N17" s="13">
        <f>IF(AND(ISNUMBER(B17), B17&gt;0, ISNUMBER('1ª e 2ª EM'!E5)), ('1ª e 2ª EM'!E5/(B17*4)), 0)</f>
        <v>0.4230769231</v>
      </c>
      <c r="O17" s="13">
        <f>IF(AND(ISNUMBER(B17), B17&gt;0, ISNUMBER('1ª e 2ª EM'!G5)), ('1ª e 2ª EM'!G5/(B17*2)), 0)</f>
        <v>0.6923076923</v>
      </c>
      <c r="P17" s="14">
        <f t="shared" si="4"/>
        <v>0.485042735</v>
      </c>
    </row>
    <row r="18" ht="21.75" customHeight="1">
      <c r="A18" s="9" t="s">
        <v>52</v>
      </c>
      <c r="B18" s="10">
        <f>'1ª e 2ª EM'!C6</f>
        <v>21</v>
      </c>
      <c r="C18" s="10">
        <f>'1ª e 2ª EM'!B6</f>
        <v>24</v>
      </c>
      <c r="D18" s="11">
        <f t="shared" si="3"/>
        <v>0.875</v>
      </c>
      <c r="E18" s="13">
        <f>IF(AND(ISNUMBER(B18), B18&gt;0, ISNUMBER('1ª e 2ª EM'!H6)), ('1ª e 2ª EM'!H6/(B18*2)), 0)</f>
        <v>0.619047619</v>
      </c>
      <c r="F18" s="12" t="s">
        <v>60</v>
      </c>
      <c r="G18" s="12" t="s">
        <v>60</v>
      </c>
      <c r="H18" s="13">
        <f>IF(AND(ISNUMBER(B18), B18&gt;0, ISNUMBER('1ª e 2ª EM'!K6)), ('1ª e 2ª EM'!K6/(B18*2)), 0)</f>
        <v>0.5</v>
      </c>
      <c r="I18" s="13">
        <f>IF(AND(ISNUMBER(B18), B18&gt;0, ISNUMBER('1ª e 2ª EM'!F6)), ('1ª e 2ª EM'!F6/(B18*2)), 0)</f>
        <v>0.1666666667</v>
      </c>
      <c r="J18" s="13">
        <f>IF(AND(ISNUMBER(B18), B18&gt;0, ISNUMBER('1ª e 2ª EM'!J6)), ('1ª e 2ª EM'!J6/(B18*2)), 0)</f>
        <v>0.3571428571</v>
      </c>
      <c r="K18" s="13">
        <f>IF(AND(ISNUMBER(B18), B18&gt;0, ISNUMBER('1ª e 2ª EM'!I6)), ('1ª e 2ª EM'!I6/(B18*2)), 0)</f>
        <v>0.6666666667</v>
      </c>
      <c r="L18" s="13">
        <f>IF(AND(ISNUMBER(B18), B18&gt;0, ISNUMBER('1ª e 2ª EM'!L6)), ('1ª e 2ª EM'!L6/(B18*2)), 0)</f>
        <v>0.6666666667</v>
      </c>
      <c r="M18" s="13">
        <f>IF(AND(ISNUMBER(B18), B18&gt;0, ISNUMBER('1ª e 2ª EM'!D6)), ('1ª e 2ª EM'!D6/(B18*4)), 0)</f>
        <v>0.6428571429</v>
      </c>
      <c r="N18" s="13">
        <f>IF(AND(ISNUMBER(B18), B18&gt;0, ISNUMBER('1ª e 2ª EM'!E6)), ('1ª e 2ª EM'!E6/(B18*4)), 0)</f>
        <v>0.4404761905</v>
      </c>
      <c r="O18" s="13">
        <f>IF(AND(ISNUMBER(B18), B18&gt;0, ISNUMBER('1ª e 2ª EM'!G6)), ('1ª e 2ª EM'!G6/(B18*2)), 0)</f>
        <v>0.5476190476</v>
      </c>
      <c r="P18" s="14">
        <f t="shared" si="4"/>
        <v>0.5119047619</v>
      </c>
    </row>
    <row r="19" ht="21.75" customHeight="1">
      <c r="A19" s="9" t="s">
        <v>29</v>
      </c>
      <c r="B19" s="10">
        <f>'3ª EM'!C2</f>
        <v>8</v>
      </c>
      <c r="C19" s="10">
        <f>'3ª EM'!B2</f>
        <v>8</v>
      </c>
      <c r="D19" s="11">
        <f t="shared" si="3"/>
        <v>1</v>
      </c>
      <c r="E19" s="12" t="s">
        <v>60</v>
      </c>
      <c r="F19" s="12" t="s">
        <v>60</v>
      </c>
      <c r="G19" s="12" t="s">
        <v>60</v>
      </c>
      <c r="H19" s="12" t="s">
        <v>60</v>
      </c>
      <c r="I19" s="13">
        <f>IF(AND(ISNUMBER(B19), B19&gt;0, ISNUMBER('3ª EM'!F2)), ('3ª EM'!F2/(B19*4)), 0)</f>
        <v>0.46875</v>
      </c>
      <c r="J19" s="12" t="s">
        <v>60</v>
      </c>
      <c r="K19" s="13">
        <f>IF(AND(ISNUMBER(B19), B19&gt;0, ISNUMBER('3ª EM'!G2)), ('3ª EM'!G2/(B19*4)), 0)</f>
        <v>0.65625</v>
      </c>
      <c r="L19" s="13">
        <f>IF(AND(ISNUMBER(B19), B19&gt;0, ISNUMBER('3ª EM'!H2)), ('3ª EM'!H2/(B19*4)), 0)</f>
        <v>0.625</v>
      </c>
      <c r="M19" s="13">
        <f>IF(AND(ISNUMBER(B19), B19&gt;0, ISNUMBER('3ª EM'!D2)), ('3ª EM'!D2/(B19*5)), 0)</f>
        <v>0.65</v>
      </c>
      <c r="N19" s="13">
        <f>IF(AND(ISNUMBER(B19), B19&gt;0, ISNUMBER('3ª EM'!E2)), ('3ª EM'!E2/(B19*5)), 0)</f>
        <v>0.525</v>
      </c>
      <c r="O19" s="12" t="s">
        <v>60</v>
      </c>
      <c r="P19" s="14">
        <f t="shared" si="4"/>
        <v>0.585</v>
      </c>
    </row>
    <row r="20" ht="21.75" customHeight="1">
      <c r="A20" s="9" t="s">
        <v>45</v>
      </c>
      <c r="B20" s="10">
        <f>'3ª EM'!C3</f>
        <v>16</v>
      </c>
      <c r="C20" s="10">
        <f>'3ª EM'!B3</f>
        <v>18</v>
      </c>
      <c r="D20" s="11">
        <f t="shared" si="3"/>
        <v>0.8888888889</v>
      </c>
      <c r="E20" s="12" t="s">
        <v>60</v>
      </c>
      <c r="F20" s="12" t="s">
        <v>60</v>
      </c>
      <c r="G20" s="12" t="s">
        <v>60</v>
      </c>
      <c r="H20" s="12" t="s">
        <v>60</v>
      </c>
      <c r="I20" s="13">
        <f>IF(AND(ISNUMBER(B20), B20&gt;0, ISNUMBER('3ª EM'!F3)), ('3ª EM'!F3/(B20*4)), 0)</f>
        <v>0.375</v>
      </c>
      <c r="J20" s="12" t="s">
        <v>60</v>
      </c>
      <c r="K20" s="13">
        <f>IF(AND(ISNUMBER(B20), B20&gt;0, ISNUMBER('3ª EM'!G3)), ('3ª EM'!G3/(B20*4)), 0)</f>
        <v>0.671875</v>
      </c>
      <c r="L20" s="13">
        <f>IF(AND(ISNUMBER(B20), B20&gt;0, ISNUMBER('3ª EM'!H3)), ('3ª EM'!H3/(B20*4)), 0)</f>
        <v>0.125</v>
      </c>
      <c r="M20" s="13">
        <f>IF(AND(ISNUMBER(B20), B20&gt;0, ISNUMBER('3ª EM'!D3)), ('3ª EM'!D3/(B20*5)), 0)</f>
        <v>0.7375</v>
      </c>
      <c r="N20" s="13">
        <f>IF(AND(ISNUMBER(B20), B20&gt;0, ISNUMBER('3ª EM'!E3)), ('3ª EM'!E3/(B20*5)), 0)</f>
        <v>0.4</v>
      </c>
      <c r="O20" s="12" t="s">
        <v>60</v>
      </c>
      <c r="P20" s="14">
        <f t="shared" si="4"/>
        <v>0.461875</v>
      </c>
    </row>
    <row r="21" ht="21.75" customHeight="1">
      <c r="A21" s="9" t="s">
        <v>48</v>
      </c>
      <c r="B21" s="10">
        <f>'3ª EM'!C4</f>
        <v>19</v>
      </c>
      <c r="C21" s="10">
        <f>'3ª EM'!B4</f>
        <v>20</v>
      </c>
      <c r="D21" s="11">
        <f t="shared" si="3"/>
        <v>0.95</v>
      </c>
      <c r="E21" s="12" t="s">
        <v>60</v>
      </c>
      <c r="F21" s="12" t="s">
        <v>60</v>
      </c>
      <c r="G21" s="12" t="s">
        <v>60</v>
      </c>
      <c r="H21" s="12" t="s">
        <v>60</v>
      </c>
      <c r="I21" s="13">
        <f>IF(AND(ISNUMBER(B21), B21&gt;0, ISNUMBER('3ª EM'!F4)), ('3ª EM'!F4/(B21*4)), 0)</f>
        <v>0.2894736842</v>
      </c>
      <c r="J21" s="12" t="s">
        <v>60</v>
      </c>
      <c r="K21" s="13">
        <f>IF(AND(ISNUMBER(B21), B21&gt;0, ISNUMBER('3ª EM'!G4)), ('3ª EM'!G4/(B21*4)), 0)</f>
        <v>0.75</v>
      </c>
      <c r="L21" s="13">
        <f>IF(AND(ISNUMBER(B21), B21&gt;0, ISNUMBER('3ª EM'!H4)), ('3ª EM'!H4/(B21*4)), 0)</f>
        <v>0.3289473684</v>
      </c>
      <c r="M21" s="13">
        <f>IF(AND(ISNUMBER(B21), B21&gt;0, ISNUMBER('3ª EM'!D4)), ('3ª EM'!D4/(B21*5)), 0)</f>
        <v>0.6421052632</v>
      </c>
      <c r="N21" s="13">
        <f>IF(AND(ISNUMBER(B21), B21&gt;0, ISNUMBER('3ª EM'!E4)), ('3ª EM'!E4/(B21*5)), 0)</f>
        <v>0.3157894737</v>
      </c>
      <c r="O21" s="12" t="s">
        <v>60</v>
      </c>
      <c r="P21" s="14">
        <f t="shared" si="4"/>
        <v>0.4652631579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21">
    <cfRule type="cellIs" dxfId="0" priority="1" stopIfTrue="1" operator="between">
      <formula>0.50001</formula>
      <formula>1</formula>
    </cfRule>
  </conditionalFormatting>
  <conditionalFormatting sqref="E3:P21">
    <cfRule type="cellIs" dxfId="1" priority="2" stopIfTrue="1" operator="between">
      <formula>0.3</formula>
      <formula>0.5</formula>
    </cfRule>
  </conditionalFormatting>
  <conditionalFormatting sqref="E3:P21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