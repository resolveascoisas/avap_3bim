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<sst xmlns="http://schemas.openxmlformats.org/spreadsheetml/2006/main" count="145" uniqueCount="58">
  <si>
    <t>3ª EM</t>
  </si>
  <si>
    <t>1ª/2ª EM</t>
  </si>
  <si>
    <t>6º ao 9º EFAF</t>
  </si>
  <si>
    <t>Total de Matrículas</t>
  </si>
  <si>
    <t>Turma</t>
  </si>
  <si>
    <t>Alunos que fizeram a avaliação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</si>
  <si>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</si>
  <si>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</si>
  <si>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</si>
  <si>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</si>
  <si>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Portuguesa (Questões 1, 2, 3, 4)</t>
  </si>
  <si>
    <t>Acertos em Língua Inglesa (Questões 19, 20, 21, 22)</t>
  </si>
  <si>
    <t>Acertos em Matemática (Questões 5, 6, 7, 8)</t>
  </si>
  <si>
    <t>Total de Acertos</t>
  </si>
  <si>
    <t>Acertos em Língua Inglesa (Questões 9, 10, 11)</t>
  </si>
  <si>
    <t>Acertos em Ciências (Questões 12, 13, 14)</t>
  </si>
  <si>
    <t>Acertos em História (Questões 15, 16, 17)</t>
  </si>
  <si>
    <t>3ª SERIE A INTEGRAL 7H T2 ANUAL - 40945208</t>
  </si>
  <si>
    <t>Acertos em Física (Questões 9, 10)</t>
  </si>
  <si>
    <t>Acertos em Geografia (Questões 18, 19, 20)</t>
  </si>
  <si>
    <t>Acertos em Química (Questões 11, 12)</t>
  </si>
  <si>
    <t>Acertos em Biologia (Questões 13, 14)</t>
  </si>
  <si>
    <t>Acertos em História (Questões 15, 16)</t>
  </si>
  <si>
    <t>7° ANO A INTEGRAL 7H T1 ANUAL - 40907806</t>
  </si>
  <si>
    <t>Acertos em Geografia (Questões 17, 18)</t>
  </si>
  <si>
    <t>Acertos em Filosofia/Sociologia (Questões 19, 20)</t>
  </si>
  <si>
    <t>Alunos (Pres.)</t>
  </si>
  <si>
    <t>Acertos em Língua Inglesa (Questões 21, 22)</t>
  </si>
  <si>
    <t>Total Matric.</t>
  </si>
  <si>
    <t>Part. (%)</t>
  </si>
  <si>
    <t>1ª SERIE A INTEGRAL 7H T2 ANUAL - 40987938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</si>
  <si>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</si>
  <si>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</si>
  <si>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</si>
  <si>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</si>
  <si>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</si>
  <si>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</si>
  <si>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</si>
  <si>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</si>
  <si>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</si>
  <si>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</si>
  <si>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</si>
  <si>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</si>
  <si>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</si>
  <si>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1ª SERIE B INTEGRAL 7H T2 ANUAL - 40987936</t>
  </si>
  <si>
    <t>7° ANO B INTEGRAL 7H T1 ANUAL - 40907808</t>
  </si>
  <si>
    <t>4065 - VENDAS - 3ª SERIE B INTEGRAL 7H T2 ANUAL - 40964119</t>
  </si>
  <si>
    <t>7° ANO C INTEGRAL 7H T1 ANUAL - 40907809</t>
  </si>
  <si>
    <t>1ª SERIE C INTEGRAL 7H T2 ANUAL - 40987937</t>
  </si>
  <si>
    <t>8° ANO A INTEGRAL 7H T1 ANUAL - 40907813</t>
  </si>
  <si>
    <t>8° ANO B INTEGRAL 7H T1 ANUAL - 40907810</t>
  </si>
  <si>
    <t>2ª SERIE A INTEGRAL 7H T2 ANUAL - 40954736</t>
  </si>
  <si>
    <t>8° ANO C INTEGRAL 7H T1 ANUAL - 40907811</t>
  </si>
  <si>
    <t>9° ANO A INTEGRAL 7H T1 ANUAL - 40907807</t>
  </si>
  <si>
    <t>4050 - ADMINISTRAÇÃO - 2ª SERIE B INTEGRAL 7H T2 ANUAL - 41139023</t>
  </si>
  <si>
    <t>9° ANO B INTEGRAL 7H T1 ANUAL - 40907812</t>
  </si>
  <si>
    <t>4065 - VENDAS - 2ª SERIE C INTEGRAL 7H T2 ANUAL - 41139024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</si>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</sst>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2</v>
      </c>
      <c r="B1" s="1" t="s">
        <v>3</v>
      </c>
      <c r="C1" s="1" t="s">
        <v>5</v>
      </c>
      <c r="D1" s="1" t="s">
        <v>10</v>
      </c>
      <c r="E1" s="1" t="s">
        <v>12</v>
      </c>
      <c r="F1" s="1" t="s">
        <v>14</v>
      </c>
      <c r="G1" s="1" t="s">
        <v>15</v>
      </c>
      <c r="H1" s="1" t="s">
        <v>16</v>
      </c>
      <c r="I1" s="1" t="s">
        <v>19</v>
      </c>
      <c r="J1" s="1" t="s">
        <v>13</v>
      </c>
    </row>
    <row r="2">
      <c r="A2" s="3" t="s">
        <v>23</v>
      </c>
      <c r="B2" s="4">
        <v>35.0</v>
      </c>
      <c r="C2" s="5">
        <v>27.0</v>
      </c>
      <c r="D2" s="5">
        <v>80.0</v>
      </c>
      <c r="E2" s="5">
        <v>37.0</v>
      </c>
      <c r="F2" s="5">
        <v>56.0</v>
      </c>
      <c r="G2" s="5">
        <v>52.0</v>
      </c>
      <c r="H2" s="5">
        <v>38.0</v>
      </c>
      <c r="I2" s="5">
        <v>42.0</v>
      </c>
      <c r="J2" s="4">
        <f t="shared" ref="J2:J9" si="1">IF(COUNT(D2:I2)&gt;0, SUM(D2:I2), 0)</f>
        <v>305</v>
      </c>
    </row>
    <row r="3">
      <c r="A3" s="3" t="s">
        <v>45</v>
      </c>
      <c r="B3" s="4">
        <v>35.0</v>
      </c>
      <c r="C3" s="5">
        <v>24.0</v>
      </c>
      <c r="D3" s="5">
        <v>42.0</v>
      </c>
      <c r="E3" s="5">
        <v>36.0</v>
      </c>
      <c r="F3" s="5">
        <v>43.0</v>
      </c>
      <c r="G3" s="5">
        <v>47.0</v>
      </c>
      <c r="H3" s="5">
        <v>39.0</v>
      </c>
      <c r="I3" s="5">
        <v>34.0</v>
      </c>
      <c r="J3" s="4">
        <f t="shared" si="1"/>
        <v>241</v>
      </c>
    </row>
    <row r="4">
      <c r="A4" s="3" t="s">
        <v>47</v>
      </c>
      <c r="B4" s="4">
        <v>35.0</v>
      </c>
      <c r="C4" s="5">
        <v>26.0</v>
      </c>
      <c r="D4" s="5">
        <v>57.0</v>
      </c>
      <c r="E4" s="5">
        <v>31.0</v>
      </c>
      <c r="F4" s="5">
        <v>42.0</v>
      </c>
      <c r="G4" s="5">
        <v>51.0</v>
      </c>
      <c r="H4" s="5">
        <v>36.0</v>
      </c>
      <c r="I4" s="5">
        <v>42.0</v>
      </c>
      <c r="J4" s="4">
        <f t="shared" si="1"/>
        <v>259</v>
      </c>
    </row>
    <row r="5">
      <c r="A5" s="3" t="s">
        <v>49</v>
      </c>
      <c r="B5" s="4">
        <v>35.0</v>
      </c>
      <c r="C5" s="5">
        <v>30.0</v>
      </c>
      <c r="D5" s="5">
        <v>78.0</v>
      </c>
      <c r="E5" s="5">
        <v>32.0</v>
      </c>
      <c r="F5" s="5">
        <v>45.0</v>
      </c>
      <c r="G5" s="5">
        <v>47.0</v>
      </c>
      <c r="H5" s="5">
        <v>54.0</v>
      </c>
      <c r="I5" s="5">
        <v>33.0</v>
      </c>
      <c r="J5" s="4">
        <f t="shared" si="1"/>
        <v>289</v>
      </c>
    </row>
    <row r="6">
      <c r="A6" s="3" t="s">
        <v>50</v>
      </c>
      <c r="B6" s="4">
        <v>35.0</v>
      </c>
      <c r="C6" s="5">
        <v>23.0</v>
      </c>
      <c r="D6" s="5">
        <v>69.0</v>
      </c>
      <c r="E6" s="5">
        <v>42.0</v>
      </c>
      <c r="F6" s="5">
        <v>39.0</v>
      </c>
      <c r="G6" s="5">
        <v>44.0</v>
      </c>
      <c r="H6" s="5">
        <v>32.0</v>
      </c>
      <c r="I6" s="5">
        <v>18.0</v>
      </c>
      <c r="J6" s="4">
        <f t="shared" si="1"/>
        <v>244</v>
      </c>
    </row>
    <row r="7">
      <c r="A7" s="3" t="s">
        <v>52</v>
      </c>
      <c r="B7" s="4">
        <v>35.0</v>
      </c>
      <c r="C7" s="5">
        <v>25.0</v>
      </c>
      <c r="D7" s="5">
        <v>56.0</v>
      </c>
      <c r="E7" s="5">
        <v>26.0</v>
      </c>
      <c r="F7" s="5">
        <v>40.0</v>
      </c>
      <c r="G7" s="5">
        <v>39.0</v>
      </c>
      <c r="H7" s="5">
        <v>30.0</v>
      </c>
      <c r="I7" s="5">
        <v>20.0</v>
      </c>
      <c r="J7" s="4">
        <f t="shared" si="1"/>
        <v>211</v>
      </c>
    </row>
    <row r="8">
      <c r="A8" s="3" t="s">
        <v>53</v>
      </c>
      <c r="B8" s="4">
        <v>36.0</v>
      </c>
      <c r="C8" s="5">
        <v>28.0</v>
      </c>
      <c r="D8" s="5">
        <v>66.0</v>
      </c>
      <c r="E8" s="5">
        <v>23.0</v>
      </c>
      <c r="F8" s="5">
        <v>37.0</v>
      </c>
      <c r="G8" s="5">
        <v>47.0</v>
      </c>
      <c r="H8" s="5">
        <v>21.0</v>
      </c>
      <c r="I8" s="5">
        <v>35.0</v>
      </c>
      <c r="J8" s="4">
        <f t="shared" si="1"/>
        <v>229</v>
      </c>
    </row>
    <row r="9">
      <c r="A9" s="3" t="s">
        <v>55</v>
      </c>
      <c r="B9" s="4">
        <v>35.0</v>
      </c>
      <c r="C9" s="5">
        <v>27.0</v>
      </c>
      <c r="D9" s="5">
        <v>48.0</v>
      </c>
      <c r="E9" s="5">
        <v>30.0</v>
      </c>
      <c r="F9" s="5">
        <v>32.0</v>
      </c>
      <c r="G9" s="5">
        <v>28.0</v>
      </c>
      <c r="H9" s="5">
        <v>19.0</v>
      </c>
      <c r="I9" s="5">
        <v>26.0</v>
      </c>
      <c r="J9" s="4">
        <f t="shared" si="1"/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</v>
      </c>
      <c r="B1" s="1" t="s">
        <v>3</v>
      </c>
      <c r="C1" s="1" t="s">
        <v>5</v>
      </c>
      <c r="D1" s="1" t="s">
        <v>10</v>
      </c>
      <c r="E1" s="1" t="s">
        <v>12</v>
      </c>
      <c r="F1" s="1" t="s">
        <v>18</v>
      </c>
      <c r="G1" s="1" t="s">
        <v>20</v>
      </c>
      <c r="H1" s="1" t="s">
        <v>21</v>
      </c>
      <c r="I1" s="1" t="s">
        <v>22</v>
      </c>
      <c r="J1" s="1" t="s">
        <v>24</v>
      </c>
      <c r="K1" s="1" t="s">
        <v>25</v>
      </c>
      <c r="L1" s="1" t="s">
        <v>27</v>
      </c>
      <c r="M1" s="1" t="s">
        <v>13</v>
      </c>
    </row>
    <row r="2">
      <c r="A2" s="3" t="s">
        <v>30</v>
      </c>
      <c r="B2" s="4">
        <v>40.0</v>
      </c>
      <c r="C2" s="5">
        <v>25.0</v>
      </c>
      <c r="D2" s="5">
        <v>47.0</v>
      </c>
      <c r="E2" s="5">
        <v>41.0</v>
      </c>
      <c r="F2" s="5">
        <v>13.0</v>
      </c>
      <c r="G2" s="5">
        <v>16.0</v>
      </c>
      <c r="H2" s="5">
        <v>24.0</v>
      </c>
      <c r="I2" s="5">
        <v>34.0</v>
      </c>
      <c r="J2" s="5">
        <v>22.0</v>
      </c>
      <c r="K2" s="5">
        <v>22.0</v>
      </c>
      <c r="L2" s="5">
        <v>29.0</v>
      </c>
      <c r="M2" s="4">
        <f t="shared" ref="M2:M7" si="1">IF(COUNT(D2:L2)&gt;0, SUM(D2:L2), 0)</f>
        <v>248</v>
      </c>
    </row>
    <row r="3">
      <c r="A3" s="3" t="s">
        <v>44</v>
      </c>
      <c r="B3" s="4">
        <v>40.0</v>
      </c>
      <c r="C3" s="5">
        <v>24.0</v>
      </c>
      <c r="D3" s="5">
        <v>48.0</v>
      </c>
      <c r="E3" s="5">
        <v>19.0</v>
      </c>
      <c r="F3" s="5">
        <v>11.0</v>
      </c>
      <c r="G3" s="5">
        <v>3.0</v>
      </c>
      <c r="H3" s="5">
        <v>28.0</v>
      </c>
      <c r="I3" s="5">
        <v>14.0</v>
      </c>
      <c r="J3" s="5">
        <v>7.0</v>
      </c>
      <c r="K3" s="5">
        <v>20.0</v>
      </c>
      <c r="L3" s="5">
        <v>17.0</v>
      </c>
      <c r="M3" s="4">
        <f t="shared" si="1"/>
        <v>167</v>
      </c>
    </row>
    <row r="4">
      <c r="A4" s="3" t="s">
        <v>48</v>
      </c>
      <c r="B4" s="4">
        <v>40.0</v>
      </c>
      <c r="C4" s="5">
        <v>24.0</v>
      </c>
      <c r="D4" s="5">
        <v>62.0</v>
      </c>
      <c r="E4" s="5">
        <v>45.0</v>
      </c>
      <c r="F4" s="5">
        <v>18.0</v>
      </c>
      <c r="G4" s="5">
        <v>7.0</v>
      </c>
      <c r="H4" s="5">
        <v>19.0</v>
      </c>
      <c r="I4" s="5">
        <v>30.0</v>
      </c>
      <c r="J4" s="5">
        <v>21.0</v>
      </c>
      <c r="K4" s="5">
        <v>16.0</v>
      </c>
      <c r="L4" s="5">
        <v>17.0</v>
      </c>
      <c r="M4" s="4">
        <f t="shared" si="1"/>
        <v>235</v>
      </c>
    </row>
    <row r="5">
      <c r="A5" s="3" t="s">
        <v>51</v>
      </c>
      <c r="B5" s="4">
        <v>35.0</v>
      </c>
      <c r="C5" s="5">
        <v>18.0</v>
      </c>
      <c r="D5" s="5">
        <v>26.0</v>
      </c>
      <c r="E5" s="5">
        <v>17.0</v>
      </c>
      <c r="F5" s="5">
        <v>8.0</v>
      </c>
      <c r="G5" s="5">
        <v>15.0</v>
      </c>
      <c r="H5" s="5">
        <v>10.0</v>
      </c>
      <c r="I5" s="5">
        <v>15.0</v>
      </c>
      <c r="J5" s="5">
        <v>6.0</v>
      </c>
      <c r="K5" s="5">
        <v>2.0</v>
      </c>
      <c r="L5" s="5">
        <v>8.0</v>
      </c>
      <c r="M5" s="4">
        <f t="shared" si="1"/>
        <v>107</v>
      </c>
    </row>
    <row r="6">
      <c r="A6" s="3" t="s">
        <v>54</v>
      </c>
      <c r="B6" s="4">
        <v>25.0</v>
      </c>
      <c r="C6" s="5">
        <v>23.0</v>
      </c>
      <c r="D6" s="5">
        <v>55.0</v>
      </c>
      <c r="E6" s="5">
        <v>27.0</v>
      </c>
      <c r="F6" s="5">
        <v>19.0</v>
      </c>
      <c r="G6" s="5">
        <v>20.0</v>
      </c>
      <c r="H6" s="5">
        <v>24.0</v>
      </c>
      <c r="I6" s="5">
        <v>30.0</v>
      </c>
      <c r="J6" s="5">
        <v>11.0</v>
      </c>
      <c r="K6" s="5">
        <v>13.0</v>
      </c>
      <c r="L6" s="5">
        <v>16.0</v>
      </c>
      <c r="M6" s="4">
        <f t="shared" si="1"/>
        <v>215</v>
      </c>
    </row>
    <row r="7">
      <c r="A7" s="3" t="s">
        <v>56</v>
      </c>
      <c r="B7" s="4">
        <v>24.0</v>
      </c>
      <c r="C7" s="5">
        <v>19.0</v>
      </c>
      <c r="D7" s="5">
        <v>18.0</v>
      </c>
      <c r="E7" s="5">
        <v>7.0</v>
      </c>
      <c r="F7" s="5">
        <v>5.0</v>
      </c>
      <c r="G7" s="5">
        <v>5.0</v>
      </c>
      <c r="H7" s="5">
        <v>10.0</v>
      </c>
      <c r="I7" s="5">
        <v>14.0</v>
      </c>
      <c r="J7" s="5">
        <v>1.0</v>
      </c>
      <c r="K7" s="5">
        <v>7.0</v>
      </c>
      <c r="L7" s="5">
        <v>7.0</v>
      </c>
      <c r="M7" s="4">
        <f t="shared" si="1"/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</row>
    <row r="2">
      <c r="A2" s="3" t="s">
        <v>17</v>
      </c>
      <c r="B2" s="4">
        <v>26.0</v>
      </c>
      <c r="C2" s="5">
        <v>19.0</v>
      </c>
      <c r="D2" s="5">
        <v>42.0</v>
      </c>
      <c r="E2" s="5">
        <v>19.0</v>
      </c>
      <c r="F2" s="5">
        <v>10.0</v>
      </c>
      <c r="G2" s="5">
        <v>21.0</v>
      </c>
      <c r="H2" s="5">
        <v>11.0</v>
      </c>
      <c r="I2" s="4">
        <f t="shared" ref="I2:I3" si="1">IF(COUNT(D2:H2)&gt;0, SUM(D2:H2), 0)</f>
        <v>103</v>
      </c>
    </row>
    <row r="3">
      <c r="A3" s="3" t="s">
        <v>46</v>
      </c>
      <c r="B3" s="4">
        <v>27.0</v>
      </c>
      <c r="C3" s="5">
        <v>21.0</v>
      </c>
      <c r="D3" s="5">
        <v>53.0</v>
      </c>
      <c r="E3" s="5">
        <v>30.0</v>
      </c>
      <c r="F3" s="5">
        <v>19.0</v>
      </c>
      <c r="G3" s="5">
        <v>14.0</v>
      </c>
      <c r="H3" s="5">
        <v>7.0</v>
      </c>
      <c r="I3" s="4">
        <f t="shared" si="1"/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4</v>
      </c>
      <c r="B1" s="2" t="s">
        <v>26</v>
      </c>
      <c r="C1" s="2" t="s">
        <v>28</v>
      </c>
      <c r="D1" s="2" t="s">
        <v>29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</row>
    <row r="2" ht="27.75" customHeight="1">
      <c r="A2" s="6" t="s">
        <v>43</v>
      </c>
      <c r="B2" s="7">
        <f t="shared" ref="B2:C2" si="1">IFERROR(SUM(B3:B18), 0)</f>
        <v>383</v>
      </c>
      <c r="C2" s="7">
        <f t="shared" si="1"/>
        <v>538</v>
      </c>
      <c r="D2" s="8">
        <f t="shared" ref="D2:D18" si="3">IF(AND(ISNUMBER(C2), C2&gt;0, ISNUMBER(B2)), B2/C2, 0)</f>
        <v>0.7118959108</v>
      </c>
      <c r="E2" s="8">
        <f t="shared" ref="E2:P2" si="2">IFERROR(AVERAGEIF(E3:E18, "&gt;0"), 0)</f>
        <v>0.4203069116</v>
      </c>
      <c r="F2" s="8">
        <f t="shared" si="2"/>
        <v>0.5667131805</v>
      </c>
      <c r="G2" s="8">
        <f t="shared" si="2"/>
        <v>0.3966666667</v>
      </c>
      <c r="H2" s="8">
        <f t="shared" si="2"/>
        <v>0.1741249258</v>
      </c>
      <c r="I2" s="8">
        <f t="shared" si="2"/>
        <v>0.2485975923</v>
      </c>
      <c r="J2" s="8">
        <f t="shared" si="2"/>
        <v>0.3297504088</v>
      </c>
      <c r="K2" s="8">
        <f t="shared" si="2"/>
        <v>0.4310992314</v>
      </c>
      <c r="L2" s="8">
        <f t="shared" si="2"/>
        <v>0.4082370483</v>
      </c>
      <c r="M2" s="8">
        <f t="shared" si="2"/>
        <v>0.5299079767</v>
      </c>
      <c r="N2" s="8">
        <f t="shared" si="2"/>
        <v>0.2916292769</v>
      </c>
      <c r="O2" s="8">
        <f t="shared" si="2"/>
        <v>0.2518935927</v>
      </c>
      <c r="P2" s="8">
        <f t="shared" si="2"/>
        <v>0.3938678857</v>
      </c>
    </row>
    <row r="3" ht="21.75" customHeight="1">
      <c r="A3" s="9" t="s">
        <v>23</v>
      </c>
      <c r="B3" s="10">
        <f>'6º ao 9º EFAF'!C2</f>
        <v>27</v>
      </c>
      <c r="C3" s="10">
        <f>'6º ao 9º EFAF'!B2</f>
        <v>35</v>
      </c>
      <c r="D3" s="11">
        <f t="shared" si="3"/>
        <v>0.7714285714</v>
      </c>
      <c r="E3" s="12" t="s">
        <v>57</v>
      </c>
      <c r="F3" s="13">
        <f>IF(AND(ISNUMBER(B3), B3&gt;0, ISNUMBER('6º ao 9º EFAF'!G2)), ('6º ao 9º EFAF'!G2/(B3*3)), 0)</f>
        <v>0.6419753086</v>
      </c>
      <c r="G3" s="12" t="s">
        <v>57</v>
      </c>
      <c r="H3" s="12" t="s">
        <v>57</v>
      </c>
      <c r="I3" s="12" t="s">
        <v>57</v>
      </c>
      <c r="J3" s="13">
        <f>IF(AND(ISNUMBER(B3), B3&gt;0, ISNUMBER('6º ao 9º EFAF'!I2)), ('6º ao 9º EFAF'!I2/(B3*3)), 0)</f>
        <v>0.5185185185</v>
      </c>
      <c r="K3" s="13">
        <f>IF(AND(ISNUMBER(B3), B3&gt;0, ISNUMBER('6º ao 9º EFAF'!H2)), ('6º ao 9º EFAF'!H2/(B3*3)), 0)</f>
        <v>0.4691358025</v>
      </c>
      <c r="L3" s="13">
        <f>IF(AND(ISNUMBER(B3), B3&gt;0, ISNUMBER('6º ao 9º EFAF'!F2)), ('6º ao 9º EFAF'!F2/(B3*3)), 0)</f>
        <v>0.6913580247</v>
      </c>
      <c r="M3" s="13">
        <f>IF(AND(ISNUMBER(B3), B3&gt;0, ISNUMBER('6º ao 9º EFAF'!D2)), ('6º ao 9º EFAF'!D2/(B3*4)), 0)</f>
        <v>0.7407407407</v>
      </c>
      <c r="N3" s="13">
        <f>IF(AND(ISNUMBER(B3), B3&gt;0, ISNUMBER('6º ao 9º EFAF'!E2)), ('6º ao 9º EFAF'!E2/(B3*4)), 0)</f>
        <v>0.3425925926</v>
      </c>
      <c r="O3" s="12" t="s">
        <v>57</v>
      </c>
      <c r="P3" s="14">
        <f t="shared" ref="P3:P18" si="4">IFERROR(AVERAGEIF(E3:O3, "&gt;0"), 0)</f>
        <v>0.5673868313</v>
      </c>
    </row>
    <row r="4" ht="21.75" customHeight="1">
      <c r="A4" s="9" t="s">
        <v>45</v>
      </c>
      <c r="B4" s="10">
        <f>'6º ao 9º EFAF'!C3</f>
        <v>24</v>
      </c>
      <c r="C4" s="10">
        <f>'6º ao 9º EFAF'!B3</f>
        <v>35</v>
      </c>
      <c r="D4" s="11">
        <f t="shared" si="3"/>
        <v>0.6857142857</v>
      </c>
      <c r="E4" s="12" t="s">
        <v>57</v>
      </c>
      <c r="F4" s="13">
        <f>IF(AND(ISNUMBER(B4), B4&gt;0, ISNUMBER('6º ao 9º EFAF'!G3)), ('6º ao 9º EFAF'!G3/(B4*3)), 0)</f>
        <v>0.6527777778</v>
      </c>
      <c r="G4" s="12" t="s">
        <v>57</v>
      </c>
      <c r="H4" s="12" t="s">
        <v>57</v>
      </c>
      <c r="I4" s="12" t="s">
        <v>57</v>
      </c>
      <c r="J4" s="13">
        <f>IF(AND(ISNUMBER(B4), B4&gt;0, ISNUMBER('6º ao 9º EFAF'!I3)), ('6º ao 9º EFAF'!I3/(B4*3)), 0)</f>
        <v>0.4722222222</v>
      </c>
      <c r="K4" s="13">
        <f>IF(AND(ISNUMBER(B4), B4&gt;0, ISNUMBER('6º ao 9º EFAF'!H3)), ('6º ao 9º EFAF'!H3/(B4*3)), 0)</f>
        <v>0.5416666667</v>
      </c>
      <c r="L4" s="13">
        <f>IF(AND(ISNUMBER(B4), B4&gt;0, ISNUMBER('6º ao 9º EFAF'!F3)), ('6º ao 9º EFAF'!F3/(B4*3)), 0)</f>
        <v>0.5972222222</v>
      </c>
      <c r="M4" s="13">
        <f>IF(AND(ISNUMBER(B4), B4&gt;0, ISNUMBER('6º ao 9º EFAF'!D3)), ('6º ao 9º EFAF'!D3/(B4*4)), 0)</f>
        <v>0.4375</v>
      </c>
      <c r="N4" s="13">
        <f>IF(AND(ISNUMBER(B4), B4&gt;0, ISNUMBER('6º ao 9º EFAF'!E3)), ('6º ao 9º EFAF'!E3/(B4*4)), 0)</f>
        <v>0.375</v>
      </c>
      <c r="O4" s="12" t="s">
        <v>57</v>
      </c>
      <c r="P4" s="14">
        <f t="shared" si="4"/>
        <v>0.5127314815</v>
      </c>
    </row>
    <row r="5" ht="21.75" customHeight="1">
      <c r="A5" s="9" t="s">
        <v>47</v>
      </c>
      <c r="B5" s="10">
        <f>'6º ao 9º EFAF'!C4</f>
        <v>26</v>
      </c>
      <c r="C5" s="10">
        <f>'6º ao 9º EFAF'!B4</f>
        <v>35</v>
      </c>
      <c r="D5" s="11">
        <f t="shared" si="3"/>
        <v>0.7428571429</v>
      </c>
      <c r="E5" s="12" t="s">
        <v>57</v>
      </c>
      <c r="F5" s="13">
        <f>IF(AND(ISNUMBER(B5), B5&gt;0, ISNUMBER('6º ao 9º EFAF'!G4)), ('6º ao 9º EFAF'!G4/(B5*3)), 0)</f>
        <v>0.6538461538</v>
      </c>
      <c r="G5" s="12" t="s">
        <v>57</v>
      </c>
      <c r="H5" s="12" t="s">
        <v>57</v>
      </c>
      <c r="I5" s="12" t="s">
        <v>57</v>
      </c>
      <c r="J5" s="13">
        <f>IF(AND(ISNUMBER(B5), B5&gt;0, ISNUMBER('6º ao 9º EFAF'!I4)), ('6º ao 9º EFAF'!I4/(B5*3)), 0)</f>
        <v>0.5384615385</v>
      </c>
      <c r="K5" s="13">
        <f>IF(AND(ISNUMBER(B5), B5&gt;0, ISNUMBER('6º ao 9º EFAF'!H4)), ('6º ao 9º EFAF'!H4/(B5*3)), 0)</f>
        <v>0.4615384615</v>
      </c>
      <c r="L5" s="13">
        <f>IF(AND(ISNUMBER(B5), B5&gt;0, ISNUMBER('6º ao 9º EFAF'!F4)), ('6º ao 9º EFAF'!F4/(B5*3)), 0)</f>
        <v>0.5384615385</v>
      </c>
      <c r="M5" s="13">
        <f>IF(AND(ISNUMBER(B5), B5&gt;0, ISNUMBER('6º ao 9º EFAF'!D4)), ('6º ao 9º EFAF'!D4/(B5*4)), 0)</f>
        <v>0.5480769231</v>
      </c>
      <c r="N5" s="13">
        <f>IF(AND(ISNUMBER(B5), B5&gt;0, ISNUMBER('6º ao 9º EFAF'!E4)), ('6º ao 9º EFAF'!E4/(B5*4)), 0)</f>
        <v>0.2980769231</v>
      </c>
      <c r="O5" s="12" t="s">
        <v>57</v>
      </c>
      <c r="P5" s="14">
        <f t="shared" si="4"/>
        <v>0.5064102564</v>
      </c>
    </row>
    <row r="6" ht="21.75" customHeight="1">
      <c r="A6" s="9" t="s">
        <v>49</v>
      </c>
      <c r="B6" s="10">
        <f>'6º ao 9º EFAF'!C5</f>
        <v>30</v>
      </c>
      <c r="C6" s="10">
        <f>'6º ao 9º EFAF'!B5</f>
        <v>35</v>
      </c>
      <c r="D6" s="11">
        <f t="shared" si="3"/>
        <v>0.8571428571</v>
      </c>
      <c r="E6" s="12" t="s">
        <v>57</v>
      </c>
      <c r="F6" s="13">
        <f>IF(AND(ISNUMBER(B6), B6&gt;0, ISNUMBER('6º ao 9º EFAF'!G5)), ('6º ao 9º EFAF'!G5/(B6*3)), 0)</f>
        <v>0.5222222222</v>
      </c>
      <c r="G6" s="12" t="s">
        <v>57</v>
      </c>
      <c r="H6" s="12" t="s">
        <v>57</v>
      </c>
      <c r="I6" s="12" t="s">
        <v>57</v>
      </c>
      <c r="J6" s="13">
        <f>IF(AND(ISNUMBER(B6), B6&gt;0, ISNUMBER('6º ao 9º EFAF'!I5)), ('6º ao 9º EFAF'!I5/(B6*3)), 0)</f>
        <v>0.3666666667</v>
      </c>
      <c r="K6" s="13">
        <f>IF(AND(ISNUMBER(B6), B6&gt;0, ISNUMBER('6º ao 9º EFAF'!H5)), ('6º ao 9º EFAF'!H5/(B6*3)), 0)</f>
        <v>0.6</v>
      </c>
      <c r="L6" s="13">
        <f>IF(AND(ISNUMBER(B6), B6&gt;0, ISNUMBER('6º ao 9º EFAF'!F5)), ('6º ao 9º EFAF'!F5/(B6*3)), 0)</f>
        <v>0.5</v>
      </c>
      <c r="M6" s="13">
        <f>IF(AND(ISNUMBER(B6), B6&gt;0, ISNUMBER('6º ao 9º EFAF'!D5)), ('6º ao 9º EFAF'!D5/(B6*4)), 0)</f>
        <v>0.65</v>
      </c>
      <c r="N6" s="13">
        <f>IF(AND(ISNUMBER(B6), B6&gt;0, ISNUMBER('6º ao 9º EFAF'!E5)), ('6º ao 9º EFAF'!E5/(B6*4)), 0)</f>
        <v>0.2666666667</v>
      </c>
      <c r="O6" s="12" t="s">
        <v>57</v>
      </c>
      <c r="P6" s="14">
        <f t="shared" si="4"/>
        <v>0.4842592593</v>
      </c>
    </row>
    <row r="7" ht="21.75" customHeight="1">
      <c r="A7" s="9" t="s">
        <v>50</v>
      </c>
      <c r="B7" s="10">
        <f>'6º ao 9º EFAF'!C6</f>
        <v>23</v>
      </c>
      <c r="C7" s="10">
        <f>'6º ao 9º EFAF'!B6</f>
        <v>35</v>
      </c>
      <c r="D7" s="11">
        <f t="shared" si="3"/>
        <v>0.6571428571</v>
      </c>
      <c r="E7" s="12" t="s">
        <v>57</v>
      </c>
      <c r="F7" s="13">
        <f>IF(AND(ISNUMBER(B7), B7&gt;0, ISNUMBER('6º ao 9º EFAF'!G6)), ('6º ao 9º EFAF'!G6/(B7*3)), 0)</f>
        <v>0.6376811594</v>
      </c>
      <c r="G7" s="12" t="s">
        <v>57</v>
      </c>
      <c r="H7" s="12" t="s">
        <v>57</v>
      </c>
      <c r="I7" s="12" t="s">
        <v>57</v>
      </c>
      <c r="J7" s="13">
        <f>IF(AND(ISNUMBER(B7), B7&gt;0, ISNUMBER('6º ao 9º EFAF'!I6)), ('6º ao 9º EFAF'!I6/(B7*3)), 0)</f>
        <v>0.2608695652</v>
      </c>
      <c r="K7" s="13">
        <f>IF(AND(ISNUMBER(B7), B7&gt;0, ISNUMBER('6º ao 9º EFAF'!H6)), ('6º ao 9º EFAF'!H6/(B7*3)), 0)</f>
        <v>0.4637681159</v>
      </c>
      <c r="L7" s="13">
        <f>IF(AND(ISNUMBER(B7), B7&gt;0, ISNUMBER('6º ao 9º EFAF'!F6)), ('6º ao 9º EFAF'!F6/(B7*3)), 0)</f>
        <v>0.5652173913</v>
      </c>
      <c r="M7" s="13">
        <f>IF(AND(ISNUMBER(B7), B7&gt;0, ISNUMBER('6º ao 9º EFAF'!D6)), ('6º ao 9º EFAF'!D6/(B7*4)), 0)</f>
        <v>0.75</v>
      </c>
      <c r="N7" s="13">
        <f>IF(AND(ISNUMBER(B7), B7&gt;0, ISNUMBER('6º ao 9º EFAF'!E6)), ('6º ao 9º EFAF'!E6/(B7*4)), 0)</f>
        <v>0.4565217391</v>
      </c>
      <c r="O7" s="12" t="s">
        <v>57</v>
      </c>
      <c r="P7" s="14">
        <f t="shared" si="4"/>
        <v>0.5223429952</v>
      </c>
    </row>
    <row r="8" ht="21.75" customHeight="1">
      <c r="A8" s="9" t="s">
        <v>52</v>
      </c>
      <c r="B8" s="10">
        <f>'6º ao 9º EFAF'!C7</f>
        <v>25</v>
      </c>
      <c r="C8" s="10">
        <f>'6º ao 9º EFAF'!B7</f>
        <v>35</v>
      </c>
      <c r="D8" s="11">
        <f t="shared" si="3"/>
        <v>0.7142857143</v>
      </c>
      <c r="E8" s="12" t="s">
        <v>57</v>
      </c>
      <c r="F8" s="13">
        <f>IF(AND(ISNUMBER(B8), B8&gt;0, ISNUMBER('6º ao 9º EFAF'!G7)), ('6º ao 9º EFAF'!G7/(B8*3)), 0)</f>
        <v>0.52</v>
      </c>
      <c r="G8" s="12" t="s">
        <v>57</v>
      </c>
      <c r="H8" s="12" t="s">
        <v>57</v>
      </c>
      <c r="I8" s="12" t="s">
        <v>57</v>
      </c>
      <c r="J8" s="13">
        <f>IF(AND(ISNUMBER(B8), B8&gt;0, ISNUMBER('6º ao 9º EFAF'!I7)), ('6º ao 9º EFAF'!I7/(B8*3)), 0)</f>
        <v>0.2666666667</v>
      </c>
      <c r="K8" s="13">
        <f>IF(AND(ISNUMBER(B8), B8&gt;0, ISNUMBER('6º ao 9º EFAF'!H7)), ('6º ao 9º EFAF'!H7/(B8*3)), 0)</f>
        <v>0.4</v>
      </c>
      <c r="L8" s="13">
        <f>IF(AND(ISNUMBER(B8), B8&gt;0, ISNUMBER('6º ao 9º EFAF'!F7)), ('6º ao 9º EFAF'!F7/(B8*3)), 0)</f>
        <v>0.5333333333</v>
      </c>
      <c r="M8" s="13">
        <f>IF(AND(ISNUMBER(B8), B8&gt;0, ISNUMBER('6º ao 9º EFAF'!D7)), ('6º ao 9º EFAF'!D7/(B8*4)), 0)</f>
        <v>0.56</v>
      </c>
      <c r="N8" s="13">
        <f>IF(AND(ISNUMBER(B8), B8&gt;0, ISNUMBER('6º ao 9º EFAF'!E7)), ('6º ao 9º EFAF'!E7/(B8*4)), 0)</f>
        <v>0.26</v>
      </c>
      <c r="O8" s="12" t="s">
        <v>57</v>
      </c>
      <c r="P8" s="14">
        <f t="shared" si="4"/>
        <v>0.4233333333</v>
      </c>
    </row>
    <row r="9" ht="21.75" customHeight="1">
      <c r="A9" s="9" t="s">
        <v>53</v>
      </c>
      <c r="B9" s="10">
        <f>'6º ao 9º EFAF'!C8</f>
        <v>28</v>
      </c>
      <c r="C9" s="10">
        <f>'6º ao 9º EFAF'!B8</f>
        <v>36</v>
      </c>
      <c r="D9" s="11">
        <f t="shared" si="3"/>
        <v>0.7777777778</v>
      </c>
      <c r="E9" s="12" t="s">
        <v>57</v>
      </c>
      <c r="F9" s="13">
        <f>IF(AND(ISNUMBER(B9), B9&gt;0, ISNUMBER('6º ao 9º EFAF'!G8)), ('6º ao 9º EFAF'!G8/(B9*3)), 0)</f>
        <v>0.5595238095</v>
      </c>
      <c r="G9" s="12" t="s">
        <v>57</v>
      </c>
      <c r="H9" s="12" t="s">
        <v>57</v>
      </c>
      <c r="I9" s="12" t="s">
        <v>57</v>
      </c>
      <c r="J9" s="13">
        <f>IF(AND(ISNUMBER(B9), B9&gt;0, ISNUMBER('6º ao 9º EFAF'!I8)), ('6º ao 9º EFAF'!I8/(B9*3)), 0)</f>
        <v>0.4166666667</v>
      </c>
      <c r="K9" s="13">
        <f>IF(AND(ISNUMBER(B9), B9&gt;0, ISNUMBER('6º ao 9º EFAF'!H8)), ('6º ao 9º EFAF'!H8/(B9*3)), 0)</f>
        <v>0.25</v>
      </c>
      <c r="L9" s="13">
        <f>IF(AND(ISNUMBER(B9), B9&gt;0, ISNUMBER('6º ao 9º EFAF'!F8)), ('6º ao 9º EFAF'!F8/(B9*3)), 0)</f>
        <v>0.4404761905</v>
      </c>
      <c r="M9" s="13">
        <f>IF(AND(ISNUMBER(B9), B9&gt;0, ISNUMBER('6º ao 9º EFAF'!D8)), ('6º ao 9º EFAF'!D8/(B9*4)), 0)</f>
        <v>0.5892857143</v>
      </c>
      <c r="N9" s="13">
        <f>IF(AND(ISNUMBER(B9), B9&gt;0, ISNUMBER('6º ao 9º EFAF'!E8)), ('6º ao 9º EFAF'!E8/(B9*4)), 0)</f>
        <v>0.2053571429</v>
      </c>
      <c r="O9" s="12" t="s">
        <v>57</v>
      </c>
      <c r="P9" s="14">
        <f t="shared" si="4"/>
        <v>0.410218254</v>
      </c>
    </row>
    <row r="10" ht="21.75" customHeight="1">
      <c r="A10" s="9" t="s">
        <v>55</v>
      </c>
      <c r="B10" s="10">
        <f>'6º ao 9º EFAF'!C9</f>
        <v>27</v>
      </c>
      <c r="C10" s="10">
        <f>'6º ao 9º EFAF'!B9</f>
        <v>35</v>
      </c>
      <c r="D10" s="11">
        <f t="shared" si="3"/>
        <v>0.7714285714</v>
      </c>
      <c r="E10" s="12" t="s">
        <v>57</v>
      </c>
      <c r="F10" s="13">
        <f>IF(AND(ISNUMBER(B10), B10&gt;0, ISNUMBER('6º ao 9º EFAF'!G9)), ('6º ao 9º EFAF'!G9/(B10*3)), 0)</f>
        <v>0.3456790123</v>
      </c>
      <c r="G10" s="12" t="s">
        <v>57</v>
      </c>
      <c r="H10" s="12" t="s">
        <v>57</v>
      </c>
      <c r="I10" s="12" t="s">
        <v>57</v>
      </c>
      <c r="J10" s="13">
        <f>IF(AND(ISNUMBER(B10), B10&gt;0, ISNUMBER('6º ao 9º EFAF'!I9)), ('6º ao 9º EFAF'!I9/(B10*3)), 0)</f>
        <v>0.3209876543</v>
      </c>
      <c r="K10" s="13">
        <f>IF(AND(ISNUMBER(B10), B10&gt;0, ISNUMBER('6º ao 9º EFAF'!H9)), ('6º ao 9º EFAF'!H9/(B10*3)), 0)</f>
        <v>0.2345679012</v>
      </c>
      <c r="L10" s="13">
        <f>IF(AND(ISNUMBER(B10), B10&gt;0, ISNUMBER('6º ao 9º EFAF'!F9)), ('6º ao 9º EFAF'!F9/(B10*3)), 0)</f>
        <v>0.3950617284</v>
      </c>
      <c r="M10" s="13">
        <f>IF(AND(ISNUMBER(B10), B10&gt;0, ISNUMBER('6º ao 9º EFAF'!D9)), ('6º ao 9º EFAF'!D9/(B10*4)), 0)</f>
        <v>0.4444444444</v>
      </c>
      <c r="N10" s="13">
        <f>IF(AND(ISNUMBER(B10), B10&gt;0, ISNUMBER('6º ao 9º EFAF'!E9)), ('6º ao 9º EFAF'!E9/(B10*4)), 0)</f>
        <v>0.2777777778</v>
      </c>
      <c r="O10" s="12" t="s">
        <v>57</v>
      </c>
      <c r="P10" s="14">
        <f t="shared" si="4"/>
        <v>0.3364197531</v>
      </c>
    </row>
    <row r="11" ht="21.75" customHeight="1">
      <c r="A11" s="9" t="s">
        <v>30</v>
      </c>
      <c r="B11" s="10">
        <f>'1ª e 2ª EM'!C2</f>
        <v>25</v>
      </c>
      <c r="C11" s="10">
        <f>'1ª e 2ª EM'!B2</f>
        <v>40</v>
      </c>
      <c r="D11" s="11">
        <f t="shared" si="3"/>
        <v>0.625</v>
      </c>
      <c r="E11" s="13">
        <f>IF(AND(ISNUMBER(B11), B11&gt;0, ISNUMBER('1ª e 2ª EM'!H2)), ('1ª e 2ª EM'!H2/(B11*2)), 0)</f>
        <v>0.48</v>
      </c>
      <c r="F11" s="12" t="s">
        <v>57</v>
      </c>
      <c r="G11" s="13">
        <f>IF(AND(ISNUMBER(B11), B11&gt;0, ISNUMBER('1ª e 2ª EM'!K2)), ('1ª e 2ª EM'!K2/(B11*2)), 0)</f>
        <v>0.44</v>
      </c>
      <c r="H11" s="12" t="s">
        <v>57</v>
      </c>
      <c r="I11" s="13">
        <f>IF(AND(ISNUMBER(B11), B11&gt;0, ISNUMBER('1ª e 2ª EM'!F2)), ('1ª e 2ª EM'!F2/(B11*2)), 0)</f>
        <v>0.26</v>
      </c>
      <c r="J11" s="13">
        <f>IF(AND(ISNUMBER(B11), B11&gt;0, ISNUMBER('1ª e 2ª EM'!J2)), ('1ª e 2ª EM'!J2/(B11*2)), 0)</f>
        <v>0.44</v>
      </c>
      <c r="K11" s="13">
        <f>IF(AND(ISNUMBER(B11), B11&gt;0, ISNUMBER('1ª e 2ª EM'!I2)), ('1ª e 2ª EM'!I2/(B11*2)), 0)</f>
        <v>0.68</v>
      </c>
      <c r="L11" s="13">
        <f>IF(AND(ISNUMBER(B11), B11&gt;0, ISNUMBER('1ª e 2ª EM'!L2)), ('1ª e 2ª EM'!L2/(B11*2)), 0)</f>
        <v>0.58</v>
      </c>
      <c r="M11" s="13">
        <f>IF(AND(ISNUMBER(B11), B11&gt;0, ISNUMBER('1ª e 2ª EM'!D2)), ('1ª e 2ª EM'!D2/(B11*4)), 0)</f>
        <v>0.47</v>
      </c>
      <c r="N11" s="13">
        <f>IF(AND(ISNUMBER(B11), B11&gt;0, ISNUMBER('1ª e 2ª EM'!E2)), ('1ª e 2ª EM'!E2/(B11*4)), 0)</f>
        <v>0.41</v>
      </c>
      <c r="O11" s="13">
        <f>IF(AND(ISNUMBER(B11), B11&gt;0, ISNUMBER('1ª e 2ª EM'!G2)), ('1ª e 2ª EM'!G2/(B11*2)), 0)</f>
        <v>0.32</v>
      </c>
      <c r="P11" s="14">
        <f t="shared" si="4"/>
        <v>0.4533333333</v>
      </c>
    </row>
    <row r="12" ht="21.75" customHeight="1">
      <c r="A12" s="9" t="s">
        <v>44</v>
      </c>
      <c r="B12" s="10">
        <f>'1ª e 2ª EM'!C3</f>
        <v>24</v>
      </c>
      <c r="C12" s="10">
        <f>'1ª e 2ª EM'!B3</f>
        <v>40</v>
      </c>
      <c r="D12" s="11">
        <f t="shared" si="3"/>
        <v>0.6</v>
      </c>
      <c r="E12" s="13">
        <f>IF(AND(ISNUMBER(B12), B12&gt;0, ISNUMBER('1ª e 2ª EM'!H3)), ('1ª e 2ª EM'!H3/(B12*2)), 0)</f>
        <v>0.5833333333</v>
      </c>
      <c r="F12" s="12" t="s">
        <v>57</v>
      </c>
      <c r="G12" s="13">
        <f>IF(AND(ISNUMBER(B12), B12&gt;0, ISNUMBER('1ª e 2ª EM'!K3)), ('1ª e 2ª EM'!K3/(B12*2)), 0)</f>
        <v>0.4166666667</v>
      </c>
      <c r="H12" s="12" t="s">
        <v>57</v>
      </c>
      <c r="I12" s="13">
        <f>IF(AND(ISNUMBER(B12), B12&gt;0, ISNUMBER('1ª e 2ª EM'!F3)), ('1ª e 2ª EM'!F3/(B12*2)), 0)</f>
        <v>0.2291666667</v>
      </c>
      <c r="J12" s="13">
        <f>IF(AND(ISNUMBER(B12), B12&gt;0, ISNUMBER('1ª e 2ª EM'!J3)), ('1ª e 2ª EM'!J3/(B12*2)), 0)</f>
        <v>0.1458333333</v>
      </c>
      <c r="K12" s="13">
        <f>IF(AND(ISNUMBER(B12), B12&gt;0, ISNUMBER('1ª e 2ª EM'!I3)), ('1ª e 2ª EM'!I3/(B12*2)), 0)</f>
        <v>0.2916666667</v>
      </c>
      <c r="L12" s="13">
        <f>IF(AND(ISNUMBER(B12), B12&gt;0, ISNUMBER('1ª e 2ª EM'!L3)), ('1ª e 2ª EM'!L3/(B12*2)), 0)</f>
        <v>0.3541666667</v>
      </c>
      <c r="M12" s="13">
        <f>IF(AND(ISNUMBER(B12), B12&gt;0, ISNUMBER('1ª e 2ª EM'!D3)), ('1ª e 2ª EM'!D3/(B12*4)), 0)</f>
        <v>0.5</v>
      </c>
      <c r="N12" s="13">
        <f>IF(AND(ISNUMBER(B12), B12&gt;0, ISNUMBER('1ª e 2ª EM'!E3)), ('1ª e 2ª EM'!E3/(B12*4)), 0)</f>
        <v>0.1979166667</v>
      </c>
      <c r="O12" s="13">
        <f>IF(AND(ISNUMBER(B12), B12&gt;0, ISNUMBER('1ª e 2ª EM'!G3)), ('1ª e 2ª EM'!G3/(B12*2)), 0)</f>
        <v>0.0625</v>
      </c>
      <c r="P12" s="14">
        <f t="shared" si="4"/>
        <v>0.3090277778</v>
      </c>
    </row>
    <row r="13" ht="21.75" customHeight="1">
      <c r="A13" s="9" t="s">
        <v>48</v>
      </c>
      <c r="B13" s="10">
        <f>'1ª e 2ª EM'!C4</f>
        <v>24</v>
      </c>
      <c r="C13" s="10">
        <f>'1ª e 2ª EM'!B4</f>
        <v>40</v>
      </c>
      <c r="D13" s="11">
        <f t="shared" si="3"/>
        <v>0.6</v>
      </c>
      <c r="E13" s="13">
        <f>IF(AND(ISNUMBER(B13), B13&gt;0, ISNUMBER('1ª e 2ª EM'!H4)), ('1ª e 2ª EM'!H4/(B13*2)), 0)</f>
        <v>0.3958333333</v>
      </c>
      <c r="F13" s="12" t="s">
        <v>57</v>
      </c>
      <c r="G13" s="13">
        <f>IF(AND(ISNUMBER(B13), B13&gt;0, ISNUMBER('1ª e 2ª EM'!K4)), ('1ª e 2ª EM'!K4/(B13*2)), 0)</f>
        <v>0.3333333333</v>
      </c>
      <c r="H13" s="12" t="s">
        <v>57</v>
      </c>
      <c r="I13" s="13">
        <f>IF(AND(ISNUMBER(B13), B13&gt;0, ISNUMBER('1ª e 2ª EM'!F4)), ('1ª e 2ª EM'!F4/(B13*2)), 0)</f>
        <v>0.375</v>
      </c>
      <c r="J13" s="13">
        <f>IF(AND(ISNUMBER(B13), B13&gt;0, ISNUMBER('1ª e 2ª EM'!J4)), ('1ª e 2ª EM'!J4/(B13*2)), 0)</f>
        <v>0.4375</v>
      </c>
      <c r="K13" s="13">
        <f>IF(AND(ISNUMBER(B13), B13&gt;0, ISNUMBER('1ª e 2ª EM'!I4)), ('1ª e 2ª EM'!I4/(B13*2)), 0)</f>
        <v>0.625</v>
      </c>
      <c r="L13" s="13">
        <f>IF(AND(ISNUMBER(B13), B13&gt;0, ISNUMBER('1ª e 2ª EM'!L4)), ('1ª e 2ª EM'!L4/(B13*2)), 0)</f>
        <v>0.3541666667</v>
      </c>
      <c r="M13" s="13">
        <f>IF(AND(ISNUMBER(B13), B13&gt;0, ISNUMBER('1ª e 2ª EM'!D4)), ('1ª e 2ª EM'!D4/(B13*4)), 0)</f>
        <v>0.6458333333</v>
      </c>
      <c r="N13" s="13">
        <f>IF(AND(ISNUMBER(B13), B13&gt;0, ISNUMBER('1ª e 2ª EM'!E4)), ('1ª e 2ª EM'!E4/(B13*4)), 0)</f>
        <v>0.46875</v>
      </c>
      <c r="O13" s="13">
        <f>IF(AND(ISNUMBER(B13), B13&gt;0, ISNUMBER('1ª e 2ª EM'!G4)), ('1ª e 2ª EM'!G4/(B13*2)), 0)</f>
        <v>0.1458333333</v>
      </c>
      <c r="P13" s="14">
        <f t="shared" si="4"/>
        <v>0.4201388889</v>
      </c>
    </row>
    <row r="14" ht="21.75" customHeight="1">
      <c r="A14" s="9" t="s">
        <v>51</v>
      </c>
      <c r="B14" s="10">
        <f>'1ª e 2ª EM'!C5</f>
        <v>18</v>
      </c>
      <c r="C14" s="10">
        <f>'1ª e 2ª EM'!B5</f>
        <v>35</v>
      </c>
      <c r="D14" s="11">
        <f t="shared" si="3"/>
        <v>0.5142857143</v>
      </c>
      <c r="E14" s="13">
        <f>IF(AND(ISNUMBER(B14), B14&gt;0, ISNUMBER('1ª e 2ª EM'!H5)), ('1ª e 2ª EM'!H5/(B14*2)), 0)</f>
        <v>0.2777777778</v>
      </c>
      <c r="F14" s="12" t="s">
        <v>57</v>
      </c>
      <c r="G14" s="12" t="s">
        <v>57</v>
      </c>
      <c r="H14" s="13">
        <f>IF(AND(ISNUMBER(B14), B14&gt;0, ISNUMBER('1ª e 2ª EM'!K5)), ('1ª e 2ª EM'!K5/(B14*2)), 0)</f>
        <v>0.05555555556</v>
      </c>
      <c r="I14" s="13">
        <f>IF(AND(ISNUMBER(B14), B14&gt;0, ISNUMBER('1ª e 2ª EM'!F5)), ('1ª e 2ª EM'!F5/(B14*2)), 0)</f>
        <v>0.2222222222</v>
      </c>
      <c r="J14" s="13">
        <f>IF(AND(ISNUMBER(B14), B14&gt;0, ISNUMBER('1ª e 2ª EM'!J5)), ('1ª e 2ª EM'!J5/(B14*2)), 0)</f>
        <v>0.1666666667</v>
      </c>
      <c r="K14" s="13">
        <f>IF(AND(ISNUMBER(B14), B14&gt;0, ISNUMBER('1ª e 2ª EM'!I5)), ('1ª e 2ª EM'!I5/(B14*2)), 0)</f>
        <v>0.4166666667</v>
      </c>
      <c r="L14" s="13">
        <f>IF(AND(ISNUMBER(B14), B14&gt;0, ISNUMBER('1ª e 2ª EM'!L5)), ('1ª e 2ª EM'!L5/(B14*2)), 0)</f>
        <v>0.2222222222</v>
      </c>
      <c r="M14" s="13">
        <f>IF(AND(ISNUMBER(B14), B14&gt;0, ISNUMBER('1ª e 2ª EM'!D5)), ('1ª e 2ª EM'!D5/(B14*4)), 0)</f>
        <v>0.3611111111</v>
      </c>
      <c r="N14" s="13">
        <f>IF(AND(ISNUMBER(B14), B14&gt;0, ISNUMBER('1ª e 2ª EM'!E5)), ('1ª e 2ª EM'!E5/(B14*4)), 0)</f>
        <v>0.2361111111</v>
      </c>
      <c r="O14" s="13">
        <f>IF(AND(ISNUMBER(B14), B14&gt;0, ISNUMBER('1ª e 2ª EM'!G5)), ('1ª e 2ª EM'!G5/(B14*2)), 0)</f>
        <v>0.4166666667</v>
      </c>
      <c r="P14" s="14">
        <f t="shared" si="4"/>
        <v>0.2638888889</v>
      </c>
    </row>
    <row r="15" ht="21.75" customHeight="1">
      <c r="A15" s="9" t="s">
        <v>54</v>
      </c>
      <c r="B15" s="10">
        <f>'1ª e 2ª EM'!C6</f>
        <v>23</v>
      </c>
      <c r="C15" s="10">
        <f>'1ª e 2ª EM'!B6</f>
        <v>25</v>
      </c>
      <c r="D15" s="11">
        <f t="shared" si="3"/>
        <v>0.92</v>
      </c>
      <c r="E15" s="13">
        <f>IF(AND(ISNUMBER(B15), B15&gt;0, ISNUMBER('1ª e 2ª EM'!H6)), ('1ª e 2ª EM'!H6/(B15*2)), 0)</f>
        <v>0.5217391304</v>
      </c>
      <c r="F15" s="12" t="s">
        <v>57</v>
      </c>
      <c r="G15" s="12" t="s">
        <v>57</v>
      </c>
      <c r="H15" s="13">
        <f>IF(AND(ISNUMBER(B15), B15&gt;0, ISNUMBER('1ª e 2ª EM'!K6)), ('1ª e 2ª EM'!K6/(B15*2)), 0)</f>
        <v>0.2826086957</v>
      </c>
      <c r="I15" s="13">
        <f>IF(AND(ISNUMBER(B15), B15&gt;0, ISNUMBER('1ª e 2ª EM'!F6)), ('1ª e 2ª EM'!F6/(B15*2)), 0)</f>
        <v>0.4130434783</v>
      </c>
      <c r="J15" s="13">
        <f>IF(AND(ISNUMBER(B15), B15&gt;0, ISNUMBER('1ª e 2ª EM'!J6)), ('1ª e 2ª EM'!J6/(B15*2)), 0)</f>
        <v>0.2391304348</v>
      </c>
      <c r="K15" s="13">
        <f>IF(AND(ISNUMBER(B15), B15&gt;0, ISNUMBER('1ª e 2ª EM'!I6)), ('1ª e 2ª EM'!I6/(B15*2)), 0)</f>
        <v>0.652173913</v>
      </c>
      <c r="L15" s="13">
        <f>IF(AND(ISNUMBER(B15), B15&gt;0, ISNUMBER('1ª e 2ª EM'!L6)), ('1ª e 2ª EM'!L6/(B15*2)), 0)</f>
        <v>0.347826087</v>
      </c>
      <c r="M15" s="13">
        <f>IF(AND(ISNUMBER(B15), B15&gt;0, ISNUMBER('1ª e 2ª EM'!D6)), ('1ª e 2ª EM'!D6/(B15*4)), 0)</f>
        <v>0.597826087</v>
      </c>
      <c r="N15" s="13">
        <f>IF(AND(ISNUMBER(B15), B15&gt;0, ISNUMBER('1ª e 2ª EM'!E6)), ('1ª e 2ª EM'!E6/(B15*4)), 0)</f>
        <v>0.2934782609</v>
      </c>
      <c r="O15" s="13">
        <f>IF(AND(ISNUMBER(B15), B15&gt;0, ISNUMBER('1ª e 2ª EM'!G6)), ('1ª e 2ª EM'!G6/(B15*2)), 0)</f>
        <v>0.4347826087</v>
      </c>
      <c r="P15" s="14">
        <f t="shared" si="4"/>
        <v>0.4202898551</v>
      </c>
    </row>
    <row r="16" ht="21.75" customHeight="1">
      <c r="A16" s="9" t="s">
        <v>56</v>
      </c>
      <c r="B16" s="10">
        <f>'1ª e 2ª EM'!C7</f>
        <v>19</v>
      </c>
      <c r="C16" s="10">
        <f>'1ª e 2ª EM'!B7</f>
        <v>24</v>
      </c>
      <c r="D16" s="11">
        <f t="shared" si="3"/>
        <v>0.7916666667</v>
      </c>
      <c r="E16" s="13">
        <f>IF(AND(ISNUMBER(B16), B16&gt;0, ISNUMBER('1ª e 2ª EM'!H7)), ('1ª e 2ª EM'!H7/(B16*2)), 0)</f>
        <v>0.2631578947</v>
      </c>
      <c r="F16" s="12" t="s">
        <v>57</v>
      </c>
      <c r="G16" s="12" t="s">
        <v>57</v>
      </c>
      <c r="H16" s="13">
        <f>IF(AND(ISNUMBER(B16), B16&gt;0, ISNUMBER('1ª e 2ª EM'!K7)), ('1ª e 2ª EM'!K7/(B16*2)), 0)</f>
        <v>0.1842105263</v>
      </c>
      <c r="I16" s="13">
        <f>IF(AND(ISNUMBER(B16), B16&gt;0, ISNUMBER('1ª e 2ª EM'!F7)), ('1ª e 2ª EM'!F7/(B16*2)), 0)</f>
        <v>0.1315789474</v>
      </c>
      <c r="J16" s="13">
        <f>IF(AND(ISNUMBER(B16), B16&gt;0, ISNUMBER('1ª e 2ª EM'!J7)), ('1ª e 2ª EM'!J7/(B16*2)), 0)</f>
        <v>0.02631578947</v>
      </c>
      <c r="K16" s="13">
        <f>IF(AND(ISNUMBER(B16), B16&gt;0, ISNUMBER('1ª e 2ª EM'!I7)), ('1ª e 2ª EM'!I7/(B16*2)), 0)</f>
        <v>0.3684210526</v>
      </c>
      <c r="L16" s="13">
        <f>IF(AND(ISNUMBER(B16), B16&gt;0, ISNUMBER('1ª e 2ª EM'!L7)), ('1ª e 2ª EM'!L7/(B16*2)), 0)</f>
        <v>0.1842105263</v>
      </c>
      <c r="M16" s="13">
        <f>IF(AND(ISNUMBER(B16), B16&gt;0, ISNUMBER('1ª e 2ª EM'!D7)), ('1ª e 2ª EM'!D7/(B16*4)), 0)</f>
        <v>0.2368421053</v>
      </c>
      <c r="N16" s="13">
        <f>IF(AND(ISNUMBER(B16), B16&gt;0, ISNUMBER('1ª e 2ª EM'!E7)), ('1ª e 2ª EM'!E7/(B16*4)), 0)</f>
        <v>0.09210526316</v>
      </c>
      <c r="O16" s="13">
        <f>IF(AND(ISNUMBER(B16), B16&gt;0, ISNUMBER('1ª e 2ª EM'!G7)), ('1ª e 2ª EM'!G7/(B16*2)), 0)</f>
        <v>0.1315789474</v>
      </c>
      <c r="P16" s="14">
        <f t="shared" si="4"/>
        <v>0.1798245614</v>
      </c>
    </row>
    <row r="17" ht="21.75" customHeight="1">
      <c r="A17" s="9" t="s">
        <v>17</v>
      </c>
      <c r="B17" s="10">
        <f>'3ª EM'!C2</f>
        <v>19</v>
      </c>
      <c r="C17" s="10">
        <f>'3ª EM'!B2</f>
        <v>26</v>
      </c>
      <c r="D17" s="11">
        <f t="shared" si="3"/>
        <v>0.7307692308</v>
      </c>
      <c r="E17" s="12" t="s">
        <v>57</v>
      </c>
      <c r="F17" s="12" t="s">
        <v>57</v>
      </c>
      <c r="G17" s="12" t="s">
        <v>57</v>
      </c>
      <c r="H17" s="12" t="s">
        <v>57</v>
      </c>
      <c r="I17" s="13">
        <f>IF(AND(ISNUMBER(B17), B17&gt;0, ISNUMBER('3ª EM'!F2)), ('3ª EM'!F2/(B17*4)), 0)</f>
        <v>0.1315789474</v>
      </c>
      <c r="J17" s="12" t="s">
        <v>57</v>
      </c>
      <c r="K17" s="13">
        <f>IF(AND(ISNUMBER(B17), B17&gt;0, ISNUMBER('3ª EM'!G2)), ('3ª EM'!G2/(B17*4)), 0)</f>
        <v>0.2763157895</v>
      </c>
      <c r="L17" s="13">
        <f>IF(AND(ISNUMBER(B17), B17&gt;0, ISNUMBER('3ª EM'!H2)), ('3ª EM'!H2/(B17*4)), 0)</f>
        <v>0.1447368421</v>
      </c>
      <c r="M17" s="13">
        <f>IF(AND(ISNUMBER(B17), B17&gt;0, ISNUMBER('3ª EM'!D2)), ('3ª EM'!D2/(B17*5)), 0)</f>
        <v>0.4421052632</v>
      </c>
      <c r="N17" s="13">
        <f>IF(AND(ISNUMBER(B17), B17&gt;0, ISNUMBER('3ª EM'!E2)), ('3ª EM'!E2/(B17*5)), 0)</f>
        <v>0.2</v>
      </c>
      <c r="O17" s="12" t="s">
        <v>57</v>
      </c>
      <c r="P17" s="14">
        <f t="shared" si="4"/>
        <v>0.2389473684</v>
      </c>
    </row>
    <row r="18" ht="21.75" customHeight="1">
      <c r="A18" s="9" t="s">
        <v>46</v>
      </c>
      <c r="B18" s="10">
        <f>'3ª EM'!C3</f>
        <v>21</v>
      </c>
      <c r="C18" s="10">
        <f>'3ª EM'!B3</f>
        <v>27</v>
      </c>
      <c r="D18" s="11">
        <f t="shared" si="3"/>
        <v>0.7777777778</v>
      </c>
      <c r="E18" s="12" t="s">
        <v>57</v>
      </c>
      <c r="F18" s="12" t="s">
        <v>57</v>
      </c>
      <c r="G18" s="12" t="s">
        <v>57</v>
      </c>
      <c r="H18" s="12" t="s">
        <v>57</v>
      </c>
      <c r="I18" s="13">
        <f>IF(AND(ISNUMBER(B18), B18&gt;0, ISNUMBER('3ª EM'!F3)), ('3ª EM'!F3/(B18*4)), 0)</f>
        <v>0.2261904762</v>
      </c>
      <c r="J18" s="12" t="s">
        <v>57</v>
      </c>
      <c r="K18" s="13">
        <f>IF(AND(ISNUMBER(B18), B18&gt;0, ISNUMBER('3ª EM'!G3)), ('3ª EM'!G3/(B18*4)), 0)</f>
        <v>0.1666666667</v>
      </c>
      <c r="L18" s="13">
        <f>IF(AND(ISNUMBER(B18), B18&gt;0, ISNUMBER('3ª EM'!H3)), ('3ª EM'!H3/(B18*4)), 0)</f>
        <v>0.08333333333</v>
      </c>
      <c r="M18" s="13">
        <f>IF(AND(ISNUMBER(B18), B18&gt;0, ISNUMBER('3ª EM'!D3)), ('3ª EM'!D3/(B18*5)), 0)</f>
        <v>0.5047619048</v>
      </c>
      <c r="N18" s="13">
        <f>IF(AND(ISNUMBER(B18), B18&gt;0, ISNUMBER('3ª EM'!E3)), ('3ª EM'!E3/(B18*5)), 0)</f>
        <v>0.2857142857</v>
      </c>
      <c r="O18" s="12" t="s">
        <v>57</v>
      </c>
      <c r="P18" s="14">
        <f t="shared" si="4"/>
        <v>0.2533333333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8">
    <cfRule type="cellIs" dxfId="0" priority="1" stopIfTrue="1" operator="between">
      <formula>0.50001</formula>
      <formula>1</formula>
    </cfRule>
  </conditionalFormatting>
  <conditionalFormatting sqref="E3:P18">
    <cfRule type="cellIs" dxfId="1" priority="2" stopIfTrue="1" operator="between">
      <formula>0.3</formula>
      <formula>0.5</formula>
    </cfRule>
  </conditionalFormatting>
  <conditionalFormatting sqref="E3:P18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