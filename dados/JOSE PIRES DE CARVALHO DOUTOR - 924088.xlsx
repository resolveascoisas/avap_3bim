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<sst xmlns="http://schemas.openxmlformats.org/spreadsheetml/2006/main" count="105" uniqueCount="50">
  <si>
    <t>3ª EM</t>
  </si>
  <si>
    <t>1ª/2ª EM</t>
  </si>
  <si>
    <t>Turma</t>
  </si>
  <si>
    <t>6º ao 9º EFAF</t>
  </si>
  <si>
    <t>Total de Matrículas</t>
  </si>
  <si>
    <t>Alunos que fizeram a avaliação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</si>
  <si>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</si>
  <si>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</si>
  <si>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</si>
  <si>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</si>
  <si>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</si>
  <si>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Acertos em Língua Portuguesa (Questões 1, 2, 3, 4)</t>
  </si>
  <si>
    <t>Total de Acertos</t>
  </si>
  <si>
    <t>Acertos em Matemática (Questões 5, 6, 7, 8)</t>
  </si>
  <si>
    <t>Acertos em Física (Questões 9, 10)</t>
  </si>
  <si>
    <t>Acertos em Língua Inglesa (Questões 9, 10, 11)</t>
  </si>
  <si>
    <t>Acertos em Química (Questões 11, 12)</t>
  </si>
  <si>
    <t>Acertos em Ciências (Questões 12, 13, 14)</t>
  </si>
  <si>
    <t>Acertos em História (Questões 15, 16, 17)</t>
  </si>
  <si>
    <t>Acertos em Biologia (Questões 13, 14)</t>
  </si>
  <si>
    <t>Acertos em Geografia (Questões 18, 19, 20)</t>
  </si>
  <si>
    <t>Acertos em História (Questões 15, 16)</t>
  </si>
  <si>
    <t>Acertos em Geografia (Questões 17, 18)</t>
  </si>
  <si>
    <t>Acertos em Filosofia/Sociologia (Questões 19, 20)</t>
  </si>
  <si>
    <t>6° ANO A INTEGRAL 9H ANUAL - 40981354</t>
  </si>
  <si>
    <t>Acertos em Língua Inglesa (Questões 21, 22)</t>
  </si>
  <si>
    <t>Alunos (Pres.)</t>
  </si>
  <si>
    <t>Total Matric.</t>
  </si>
  <si>
    <t>Part. (%)</t>
  </si>
  <si>
    <t>Biologia</t>
  </si>
  <si>
    <t>Ciências</t>
  </si>
  <si>
    <t>Filosofia</t>
  </si>
  <si>
    <t>Sociologia</t>
  </si>
  <si>
    <t>Física</t>
  </si>
  <si>
    <t>Geografia</t>
  </si>
  <si>
    <t>História</t>
  </si>
  <si>
    <t>Língua Inglesa</t>
  </si>
  <si>
    <t>Língua Portuguesa</t>
  </si>
  <si>
    <t>Matemática</t>
  </si>
  <si>
    <t>Química</t>
  </si>
  <si>
    <t>Média Geral</t>
  </si>
  <si>
    <t>MÉDIA GLOBAL DA ESCOLA</t>
  </si>
  <si>
    <t>6° ANO B INTEGRAL 9H ANUAL - 40981355</t>
  </si>
  <si>
    <t>7° ANO A INTEGRAL 9H ANUAL - 40939822</t>
  </si>
  <si>
    <t>7° ANO B INTEGRAL 9H ANUAL - 40939826</t>
  </si>
  <si>
    <t>8° ANO B INTEGRAL 9H ANUAL - 40939827</t>
  </si>
  <si>
    <t>8º ANO A INTEGRAL 9H ANUAL - 40939825</t>
  </si>
  <si>
    <t>9° ANO A INTEGRAL 9H ANUAL - 40939824</t>
  </si>
  <si>
    <t>9° ANO B INTEGRAL 9H ANUAL - 40939823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</si>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</sst>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9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b/>
      <sz val="9.0"/>
      <color rgb="FFFFFFFF"/>
      <name val="Calibri"/>
      <scheme val="minor"/>
    </font>
    <font>
      <sz val="11.0"/>
      <color theme="1"/>
      <name val="Calibri"/>
    </font>
    <font>
      <b/>
      <sz val="9.0"/>
      <color rgb="FF1F2438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b/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2438"/>
        <bgColor rgb="FF1F2438"/>
      </patternFill>
    </fill>
    <fill>
      <patternFill patternType="solid">
        <fgColor rgb="FFF5B025"/>
        <bgColor rgb="FFF5B025"/>
      </patternFill>
    </fill>
    <fill>
      <patternFill patternType="solid">
        <fgColor rgb="FFEBF5FB"/>
        <bgColor rgb="FFEBF5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2" fillId="4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2" fillId="5" fontId="6" numFmtId="164" xfId="0" applyAlignment="1" applyBorder="1" applyFill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0" width="16.0"/>
    <col customWidth="1" min="11" max="26" width="8.71"/>
  </cols>
  <sheetData>
    <row r="1" ht="64.5" customHeight="1">
      <c r="A1" s="1" t="s">
        <v>3</v>
      </c>
      <c r="B1" s="1" t="s">
        <v>4</v>
      </c>
      <c r="C1" s="1" t="s">
        <v>5</v>
      </c>
      <c r="D1" s="1" t="s">
        <v>11</v>
      </c>
      <c r="E1" s="1" t="s">
        <v>13</v>
      </c>
      <c r="F1" s="1" t="s">
        <v>15</v>
      </c>
      <c r="G1" s="1" t="s">
        <v>17</v>
      </c>
      <c r="H1" s="1" t="s">
        <v>18</v>
      </c>
      <c r="I1" s="1" t="s">
        <v>20</v>
      </c>
      <c r="J1" s="1" t="s">
        <v>12</v>
      </c>
    </row>
    <row r="2">
      <c r="A2" s="3" t="s">
        <v>24</v>
      </c>
      <c r="B2" s="4">
        <v>32.0</v>
      </c>
      <c r="C2" s="5">
        <v>31.0</v>
      </c>
      <c r="D2" s="5">
        <v>100.0</v>
      </c>
      <c r="E2" s="5">
        <v>62.0</v>
      </c>
      <c r="F2" s="5">
        <v>75.0</v>
      </c>
      <c r="G2" s="5">
        <v>64.0</v>
      </c>
      <c r="H2" s="5">
        <v>24.0</v>
      </c>
      <c r="I2" s="5">
        <v>69.0</v>
      </c>
      <c r="J2" s="4">
        <f t="shared" ref="J2:J9" si="1">IF(COUNT(D2:I2)&gt;0, SUM(D2:I2), 0)</f>
        <v>394</v>
      </c>
    </row>
    <row r="3">
      <c r="A3" s="3" t="s">
        <v>42</v>
      </c>
      <c r="B3" s="4">
        <v>32.0</v>
      </c>
      <c r="C3" s="5">
        <v>30.0</v>
      </c>
      <c r="D3" s="5">
        <v>90.0</v>
      </c>
      <c r="E3" s="5">
        <v>71.0</v>
      </c>
      <c r="F3" s="5">
        <v>65.0</v>
      </c>
      <c r="G3" s="5">
        <v>46.0</v>
      </c>
      <c r="H3" s="5">
        <v>24.0</v>
      </c>
      <c r="I3" s="5">
        <v>58.0</v>
      </c>
      <c r="J3" s="4">
        <f t="shared" si="1"/>
        <v>354</v>
      </c>
    </row>
    <row r="4">
      <c r="A4" s="3" t="s">
        <v>43</v>
      </c>
      <c r="B4" s="4">
        <v>29.0</v>
      </c>
      <c r="C4" s="5">
        <v>27.0</v>
      </c>
      <c r="D4" s="5">
        <v>65.0</v>
      </c>
      <c r="E4" s="5">
        <v>35.0</v>
      </c>
      <c r="F4" s="5">
        <v>39.0</v>
      </c>
      <c r="G4" s="5">
        <v>61.0</v>
      </c>
      <c r="H4" s="5">
        <v>39.0</v>
      </c>
      <c r="I4" s="5">
        <v>49.0</v>
      </c>
      <c r="J4" s="4">
        <f t="shared" si="1"/>
        <v>288</v>
      </c>
    </row>
    <row r="5">
      <c r="A5" s="3" t="s">
        <v>44</v>
      </c>
      <c r="B5" s="4">
        <v>29.0</v>
      </c>
      <c r="C5" s="5">
        <v>29.0</v>
      </c>
      <c r="D5" s="5">
        <v>89.0</v>
      </c>
      <c r="E5" s="5">
        <v>83.0</v>
      </c>
      <c r="F5" s="5">
        <v>69.0</v>
      </c>
      <c r="G5" s="5">
        <v>76.0</v>
      </c>
      <c r="H5" s="5">
        <v>55.0</v>
      </c>
      <c r="I5" s="5">
        <v>66.0</v>
      </c>
      <c r="J5" s="4">
        <f t="shared" si="1"/>
        <v>438</v>
      </c>
    </row>
    <row r="6">
      <c r="A6" s="3" t="s">
        <v>45</v>
      </c>
      <c r="B6" s="4">
        <v>26.0</v>
      </c>
      <c r="C6" s="5">
        <v>26.0</v>
      </c>
      <c r="D6" s="5">
        <v>55.0</v>
      </c>
      <c r="E6" s="5">
        <v>34.0</v>
      </c>
      <c r="F6" s="5">
        <v>37.0</v>
      </c>
      <c r="G6" s="5">
        <v>40.0</v>
      </c>
      <c r="H6" s="5">
        <v>30.0</v>
      </c>
      <c r="I6" s="5">
        <v>38.0</v>
      </c>
      <c r="J6" s="4">
        <f t="shared" si="1"/>
        <v>234</v>
      </c>
    </row>
    <row r="7">
      <c r="A7" s="3" t="s">
        <v>46</v>
      </c>
      <c r="B7" s="4">
        <v>20.0</v>
      </c>
      <c r="C7" s="5">
        <v>19.0</v>
      </c>
      <c r="D7" s="5">
        <v>52.0</v>
      </c>
      <c r="E7" s="5">
        <v>37.0</v>
      </c>
      <c r="F7" s="5">
        <v>35.0</v>
      </c>
      <c r="G7" s="5">
        <v>33.0</v>
      </c>
      <c r="H7" s="5">
        <v>23.0</v>
      </c>
      <c r="I7" s="5">
        <v>21.0</v>
      </c>
      <c r="J7" s="4">
        <f t="shared" si="1"/>
        <v>201</v>
      </c>
    </row>
    <row r="8">
      <c r="A8" s="3" t="s">
        <v>47</v>
      </c>
      <c r="B8" s="4">
        <v>25.0</v>
      </c>
      <c r="C8" s="5">
        <v>24.0</v>
      </c>
      <c r="D8" s="5">
        <v>63.0</v>
      </c>
      <c r="E8" s="5">
        <v>42.0</v>
      </c>
      <c r="F8" s="5">
        <v>29.0</v>
      </c>
      <c r="G8" s="5">
        <v>49.0</v>
      </c>
      <c r="H8" s="5">
        <v>13.0</v>
      </c>
      <c r="I8" s="5">
        <v>27.0</v>
      </c>
      <c r="J8" s="4">
        <f t="shared" si="1"/>
        <v>223</v>
      </c>
    </row>
    <row r="9">
      <c r="A9" s="3" t="s">
        <v>48</v>
      </c>
      <c r="B9" s="4">
        <v>26.0</v>
      </c>
      <c r="C9" s="5">
        <v>24.0</v>
      </c>
      <c r="D9" s="5">
        <v>75.0</v>
      </c>
      <c r="E9" s="5">
        <v>47.0</v>
      </c>
      <c r="F9" s="5">
        <v>25.0</v>
      </c>
      <c r="G9" s="5">
        <v>51.0</v>
      </c>
      <c r="H9" s="5">
        <v>10.0</v>
      </c>
      <c r="I9" s="5">
        <v>27.0</v>
      </c>
      <c r="J9" s="4">
        <f t="shared" si="1"/>
        <v>235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3" width="16.0"/>
    <col customWidth="1" min="14" max="26" width="8.71"/>
  </cols>
  <sheetData>
    <row r="1" ht="64.5" customHeight="1">
      <c r="A1" s="1" t="s">
        <v>1</v>
      </c>
      <c r="B1" s="1" t="s">
        <v>4</v>
      </c>
      <c r="C1" s="1" t="s">
        <v>5</v>
      </c>
      <c r="D1" s="1" t="s">
        <v>11</v>
      </c>
      <c r="E1" s="1" t="s">
        <v>13</v>
      </c>
      <c r="F1" s="1" t="s">
        <v>14</v>
      </c>
      <c r="G1" s="1" t="s">
        <v>16</v>
      </c>
      <c r="H1" s="1" t="s">
        <v>19</v>
      </c>
      <c r="I1" s="1" t="s">
        <v>21</v>
      </c>
      <c r="J1" s="1" t="s">
        <v>22</v>
      </c>
      <c r="K1" s="1" t="s">
        <v>23</v>
      </c>
      <c r="L1" s="1" t="s">
        <v>25</v>
      </c>
      <c r="M1" s="1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9" width="16.0"/>
    <col customWidth="1" min="10" max="26" width="8.71"/>
  </cols>
  <sheetData>
    <row r="1" ht="64.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2" t="s">
        <v>2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</row>
    <row r="2" ht="27.75" customHeight="1">
      <c r="A2" s="6" t="s">
        <v>41</v>
      </c>
      <c r="B2" s="7">
        <f t="shared" ref="B2:C2" si="1">IFERROR(SUM(B3:B10), 0)</f>
        <v>210</v>
      </c>
      <c r="C2" s="7">
        <f t="shared" si="1"/>
        <v>219</v>
      </c>
      <c r="D2" s="8">
        <f t="shared" ref="D2:D10" si="3">IF(AND(ISNUMBER(C2), C2&gt;0, ISNUMBER(B2)), B2/C2, 0)</f>
        <v>0.9589041096</v>
      </c>
      <c r="E2" s="8">
        <f t="shared" ref="E2:P2" si="2">IFERROR(AVERAGEIF(E3:E10, "&gt;0"), 0)</f>
        <v>0</v>
      </c>
      <c r="F2" s="8">
        <f t="shared" si="2"/>
        <v>0.6633236953</v>
      </c>
      <c r="G2" s="8">
        <f t="shared" si="2"/>
        <v>0</v>
      </c>
      <c r="H2" s="8">
        <f t="shared" si="2"/>
        <v>0</v>
      </c>
      <c r="I2" s="8">
        <f t="shared" si="2"/>
        <v>0</v>
      </c>
      <c r="J2" s="8">
        <f t="shared" si="2"/>
        <v>0.5444424287</v>
      </c>
      <c r="K2" s="8">
        <f t="shared" si="2"/>
        <v>0.3432456467</v>
      </c>
      <c r="L2" s="8">
        <f t="shared" si="2"/>
        <v>0.5802066034</v>
      </c>
      <c r="M2" s="8">
        <f t="shared" si="2"/>
        <v>0.6970126905</v>
      </c>
      <c r="N2" s="8">
        <f t="shared" si="2"/>
        <v>0.4840133122</v>
      </c>
      <c r="O2" s="8">
        <f t="shared" si="2"/>
        <v>0</v>
      </c>
      <c r="P2" s="8">
        <f t="shared" si="2"/>
        <v>0.5520407295</v>
      </c>
    </row>
    <row r="3" ht="21.75" customHeight="1">
      <c r="A3" s="9" t="s">
        <v>24</v>
      </c>
      <c r="B3" s="10">
        <f>'6º ao 9º EFAF'!C2</f>
        <v>31</v>
      </c>
      <c r="C3" s="10">
        <f>'6º ao 9º EFAF'!B2</f>
        <v>32</v>
      </c>
      <c r="D3" s="11">
        <f t="shared" si="3"/>
        <v>0.96875</v>
      </c>
      <c r="E3" s="12" t="s">
        <v>49</v>
      </c>
      <c r="F3" s="13">
        <f>IF(AND(ISNUMBER(B3), B3&gt;0, ISNUMBER('6º ao 9º EFAF'!G2)), ('6º ao 9º EFAF'!G2/(B3*3)), 0)</f>
        <v>0.688172043</v>
      </c>
      <c r="G3" s="12" t="s">
        <v>49</v>
      </c>
      <c r="H3" s="12" t="s">
        <v>49</v>
      </c>
      <c r="I3" s="12" t="s">
        <v>49</v>
      </c>
      <c r="J3" s="13">
        <f>IF(AND(ISNUMBER(B3), B3&gt;0, ISNUMBER('6º ao 9º EFAF'!I2)), ('6º ao 9º EFAF'!I2/(B3*3)), 0)</f>
        <v>0.7419354839</v>
      </c>
      <c r="K3" s="13">
        <f>IF(AND(ISNUMBER(B3), B3&gt;0, ISNUMBER('6º ao 9º EFAF'!H2)), ('6º ao 9º EFAF'!H2/(B3*3)), 0)</f>
        <v>0.2580645161</v>
      </c>
      <c r="L3" s="13">
        <f>IF(AND(ISNUMBER(B3), B3&gt;0, ISNUMBER('6º ao 9º EFAF'!F2)), ('6º ao 9º EFAF'!F2/(B3*3)), 0)</f>
        <v>0.8064516129</v>
      </c>
      <c r="M3" s="13">
        <f>IF(AND(ISNUMBER(B3), B3&gt;0, ISNUMBER('6º ao 9º EFAF'!D2)), ('6º ao 9º EFAF'!D2/(B3*4)), 0)</f>
        <v>0.8064516129</v>
      </c>
      <c r="N3" s="13">
        <f>IF(AND(ISNUMBER(B3), B3&gt;0, ISNUMBER('6º ao 9º EFAF'!E2)), ('6º ao 9º EFAF'!E2/(B3*4)), 0)</f>
        <v>0.5</v>
      </c>
      <c r="O3" s="12" t="s">
        <v>49</v>
      </c>
      <c r="P3" s="14">
        <f t="shared" ref="P3:P10" si="4">IFERROR(AVERAGEIF(E3:O3, "&gt;0"), 0)</f>
        <v>0.6335125448</v>
      </c>
    </row>
    <row r="4" ht="21.75" customHeight="1">
      <c r="A4" s="9" t="s">
        <v>42</v>
      </c>
      <c r="B4" s="10">
        <f>'6º ao 9º EFAF'!C3</f>
        <v>30</v>
      </c>
      <c r="C4" s="10">
        <f>'6º ao 9º EFAF'!B3</f>
        <v>32</v>
      </c>
      <c r="D4" s="11">
        <f t="shared" si="3"/>
        <v>0.9375</v>
      </c>
      <c r="E4" s="12" t="s">
        <v>49</v>
      </c>
      <c r="F4" s="13">
        <f>IF(AND(ISNUMBER(B4), B4&gt;0, ISNUMBER('6º ao 9º EFAF'!G3)), ('6º ao 9º EFAF'!G3/(B4*3)), 0)</f>
        <v>0.5111111111</v>
      </c>
      <c r="G4" s="12" t="s">
        <v>49</v>
      </c>
      <c r="H4" s="12" t="s">
        <v>49</v>
      </c>
      <c r="I4" s="12" t="s">
        <v>49</v>
      </c>
      <c r="J4" s="13">
        <f>IF(AND(ISNUMBER(B4), B4&gt;0, ISNUMBER('6º ao 9º EFAF'!I3)), ('6º ao 9º EFAF'!I3/(B4*3)), 0)</f>
        <v>0.6444444444</v>
      </c>
      <c r="K4" s="13">
        <f>IF(AND(ISNUMBER(B4), B4&gt;0, ISNUMBER('6º ao 9º EFAF'!H3)), ('6º ao 9º EFAF'!H3/(B4*3)), 0)</f>
        <v>0.2666666667</v>
      </c>
      <c r="L4" s="13">
        <f>IF(AND(ISNUMBER(B4), B4&gt;0, ISNUMBER('6º ao 9º EFAF'!F3)), ('6º ao 9º EFAF'!F3/(B4*3)), 0)</f>
        <v>0.7222222222</v>
      </c>
      <c r="M4" s="13">
        <f>IF(AND(ISNUMBER(B4), B4&gt;0, ISNUMBER('6º ao 9º EFAF'!D3)), ('6º ao 9º EFAF'!D3/(B4*4)), 0)</f>
        <v>0.75</v>
      </c>
      <c r="N4" s="13">
        <f>IF(AND(ISNUMBER(B4), B4&gt;0, ISNUMBER('6º ao 9º EFAF'!E3)), ('6º ao 9º EFAF'!E3/(B4*4)), 0)</f>
        <v>0.5916666667</v>
      </c>
      <c r="O4" s="12" t="s">
        <v>49</v>
      </c>
      <c r="P4" s="14">
        <f t="shared" si="4"/>
        <v>0.5810185185</v>
      </c>
    </row>
    <row r="5" ht="21.75" customHeight="1">
      <c r="A5" s="9" t="s">
        <v>43</v>
      </c>
      <c r="B5" s="10">
        <f>'6º ao 9º EFAF'!C4</f>
        <v>27</v>
      </c>
      <c r="C5" s="10">
        <f>'6º ao 9º EFAF'!B4</f>
        <v>29</v>
      </c>
      <c r="D5" s="11">
        <f t="shared" si="3"/>
        <v>0.9310344828</v>
      </c>
      <c r="E5" s="12" t="s">
        <v>49</v>
      </c>
      <c r="F5" s="13">
        <f>IF(AND(ISNUMBER(B5), B5&gt;0, ISNUMBER('6º ao 9º EFAF'!G4)), ('6º ao 9º EFAF'!G4/(B5*3)), 0)</f>
        <v>0.7530864198</v>
      </c>
      <c r="G5" s="12" t="s">
        <v>49</v>
      </c>
      <c r="H5" s="12" t="s">
        <v>49</v>
      </c>
      <c r="I5" s="12" t="s">
        <v>49</v>
      </c>
      <c r="J5" s="13">
        <f>IF(AND(ISNUMBER(B5), B5&gt;0, ISNUMBER('6º ao 9º EFAF'!I4)), ('6º ao 9º EFAF'!I4/(B5*3)), 0)</f>
        <v>0.6049382716</v>
      </c>
      <c r="K5" s="13">
        <f>IF(AND(ISNUMBER(B5), B5&gt;0, ISNUMBER('6º ao 9º EFAF'!H4)), ('6º ao 9º EFAF'!H4/(B5*3)), 0)</f>
        <v>0.4814814815</v>
      </c>
      <c r="L5" s="13">
        <f>IF(AND(ISNUMBER(B5), B5&gt;0, ISNUMBER('6º ao 9º EFAF'!F4)), ('6º ao 9º EFAF'!F4/(B5*3)), 0)</f>
        <v>0.4814814815</v>
      </c>
      <c r="M5" s="13">
        <f>IF(AND(ISNUMBER(B5), B5&gt;0, ISNUMBER('6º ao 9º EFAF'!D4)), ('6º ao 9º EFAF'!D4/(B5*4)), 0)</f>
        <v>0.6018518519</v>
      </c>
      <c r="N5" s="13">
        <f>IF(AND(ISNUMBER(B5), B5&gt;0, ISNUMBER('6º ao 9º EFAF'!E4)), ('6º ao 9º EFAF'!E4/(B5*4)), 0)</f>
        <v>0.3240740741</v>
      </c>
      <c r="O5" s="12" t="s">
        <v>49</v>
      </c>
      <c r="P5" s="14">
        <f t="shared" si="4"/>
        <v>0.5411522634</v>
      </c>
    </row>
    <row r="6" ht="21.75" customHeight="1">
      <c r="A6" s="9" t="s">
        <v>44</v>
      </c>
      <c r="B6" s="10">
        <f>'6º ao 9º EFAF'!C5</f>
        <v>29</v>
      </c>
      <c r="C6" s="10">
        <f>'6º ao 9º EFAF'!B5</f>
        <v>29</v>
      </c>
      <c r="D6" s="11">
        <f t="shared" si="3"/>
        <v>1</v>
      </c>
      <c r="E6" s="12" t="s">
        <v>49</v>
      </c>
      <c r="F6" s="13">
        <f>IF(AND(ISNUMBER(B6), B6&gt;0, ISNUMBER('6º ao 9º EFAF'!G5)), ('6º ao 9º EFAF'!G5/(B6*3)), 0)</f>
        <v>0.8735632184</v>
      </c>
      <c r="G6" s="12" t="s">
        <v>49</v>
      </c>
      <c r="H6" s="12" t="s">
        <v>49</v>
      </c>
      <c r="I6" s="12" t="s">
        <v>49</v>
      </c>
      <c r="J6" s="13">
        <f>IF(AND(ISNUMBER(B6), B6&gt;0, ISNUMBER('6º ao 9º EFAF'!I5)), ('6º ao 9º EFAF'!I5/(B6*3)), 0)</f>
        <v>0.7586206897</v>
      </c>
      <c r="K6" s="13">
        <f>IF(AND(ISNUMBER(B6), B6&gt;0, ISNUMBER('6º ao 9º EFAF'!H5)), ('6º ao 9º EFAF'!H5/(B6*3)), 0)</f>
        <v>0.632183908</v>
      </c>
      <c r="L6" s="13">
        <f>IF(AND(ISNUMBER(B6), B6&gt;0, ISNUMBER('6º ao 9º EFAF'!F5)), ('6º ao 9º EFAF'!F5/(B6*3)), 0)</f>
        <v>0.7931034483</v>
      </c>
      <c r="M6" s="13">
        <f>IF(AND(ISNUMBER(B6), B6&gt;0, ISNUMBER('6º ao 9º EFAF'!D5)), ('6º ao 9º EFAF'!D5/(B6*4)), 0)</f>
        <v>0.7672413793</v>
      </c>
      <c r="N6" s="13">
        <f>IF(AND(ISNUMBER(B6), B6&gt;0, ISNUMBER('6º ao 9º EFAF'!E5)), ('6º ao 9º EFAF'!E5/(B6*4)), 0)</f>
        <v>0.7155172414</v>
      </c>
      <c r="O6" s="12" t="s">
        <v>49</v>
      </c>
      <c r="P6" s="14">
        <f t="shared" si="4"/>
        <v>0.7567049808</v>
      </c>
    </row>
    <row r="7" ht="21.75" customHeight="1">
      <c r="A7" s="9" t="s">
        <v>45</v>
      </c>
      <c r="B7" s="10">
        <f>'6º ao 9º EFAF'!C6</f>
        <v>26</v>
      </c>
      <c r="C7" s="10">
        <f>'6º ao 9º EFAF'!B6</f>
        <v>26</v>
      </c>
      <c r="D7" s="11">
        <f t="shared" si="3"/>
        <v>1</v>
      </c>
      <c r="E7" s="12" t="s">
        <v>49</v>
      </c>
      <c r="F7" s="13">
        <f>IF(AND(ISNUMBER(B7), B7&gt;0, ISNUMBER('6º ao 9º EFAF'!G6)), ('6º ao 9º EFAF'!G6/(B7*3)), 0)</f>
        <v>0.5128205128</v>
      </c>
      <c r="G7" s="12" t="s">
        <v>49</v>
      </c>
      <c r="H7" s="12" t="s">
        <v>49</v>
      </c>
      <c r="I7" s="12" t="s">
        <v>49</v>
      </c>
      <c r="J7" s="13">
        <f>IF(AND(ISNUMBER(B7), B7&gt;0, ISNUMBER('6º ao 9º EFAF'!I6)), ('6º ao 9º EFAF'!I6/(B7*3)), 0)</f>
        <v>0.4871794872</v>
      </c>
      <c r="K7" s="13">
        <f>IF(AND(ISNUMBER(B7), B7&gt;0, ISNUMBER('6º ao 9º EFAF'!H6)), ('6º ao 9º EFAF'!H6/(B7*3)), 0)</f>
        <v>0.3846153846</v>
      </c>
      <c r="L7" s="13">
        <f>IF(AND(ISNUMBER(B7), B7&gt;0, ISNUMBER('6º ao 9º EFAF'!F6)), ('6º ao 9º EFAF'!F6/(B7*3)), 0)</f>
        <v>0.4743589744</v>
      </c>
      <c r="M7" s="13">
        <f>IF(AND(ISNUMBER(B7), B7&gt;0, ISNUMBER('6º ao 9º EFAF'!D6)), ('6º ao 9º EFAF'!D6/(B7*4)), 0)</f>
        <v>0.5288461538</v>
      </c>
      <c r="N7" s="13">
        <f>IF(AND(ISNUMBER(B7), B7&gt;0, ISNUMBER('6º ao 9º EFAF'!E6)), ('6º ao 9º EFAF'!E6/(B7*4)), 0)</f>
        <v>0.3269230769</v>
      </c>
      <c r="O7" s="12" t="s">
        <v>49</v>
      </c>
      <c r="P7" s="14">
        <f t="shared" si="4"/>
        <v>0.452457265</v>
      </c>
    </row>
    <row r="8" ht="21.75" customHeight="1">
      <c r="A8" s="9" t="s">
        <v>46</v>
      </c>
      <c r="B8" s="10">
        <f>'6º ao 9º EFAF'!C7</f>
        <v>19</v>
      </c>
      <c r="C8" s="10">
        <f>'6º ao 9º EFAF'!B7</f>
        <v>20</v>
      </c>
      <c r="D8" s="11">
        <f t="shared" si="3"/>
        <v>0.95</v>
      </c>
      <c r="E8" s="12" t="s">
        <v>49</v>
      </c>
      <c r="F8" s="13">
        <f>IF(AND(ISNUMBER(B8), B8&gt;0, ISNUMBER('6º ao 9º EFAF'!G7)), ('6º ao 9º EFAF'!G7/(B8*3)), 0)</f>
        <v>0.5789473684</v>
      </c>
      <c r="G8" s="12" t="s">
        <v>49</v>
      </c>
      <c r="H8" s="12" t="s">
        <v>49</v>
      </c>
      <c r="I8" s="12" t="s">
        <v>49</v>
      </c>
      <c r="J8" s="13">
        <f>IF(AND(ISNUMBER(B8), B8&gt;0, ISNUMBER('6º ao 9º EFAF'!I7)), ('6º ao 9º EFAF'!I7/(B8*3)), 0)</f>
        <v>0.3684210526</v>
      </c>
      <c r="K8" s="13">
        <f>IF(AND(ISNUMBER(B8), B8&gt;0, ISNUMBER('6º ao 9º EFAF'!H7)), ('6º ao 9º EFAF'!H7/(B8*3)), 0)</f>
        <v>0.4035087719</v>
      </c>
      <c r="L8" s="13">
        <f>IF(AND(ISNUMBER(B8), B8&gt;0, ISNUMBER('6º ao 9º EFAF'!F7)), ('6º ao 9º EFAF'!F7/(B8*3)), 0)</f>
        <v>0.6140350877</v>
      </c>
      <c r="M8" s="13">
        <f>IF(AND(ISNUMBER(B8), B8&gt;0, ISNUMBER('6º ao 9º EFAF'!D7)), ('6º ao 9º EFAF'!D7/(B8*4)), 0)</f>
        <v>0.6842105263</v>
      </c>
      <c r="N8" s="13">
        <f>IF(AND(ISNUMBER(B8), B8&gt;0, ISNUMBER('6º ao 9º EFAF'!E7)), ('6º ao 9º EFAF'!E7/(B8*4)), 0)</f>
        <v>0.4868421053</v>
      </c>
      <c r="O8" s="12" t="s">
        <v>49</v>
      </c>
      <c r="P8" s="14">
        <f t="shared" si="4"/>
        <v>0.5226608187</v>
      </c>
    </row>
    <row r="9" ht="21.75" customHeight="1">
      <c r="A9" s="9" t="s">
        <v>47</v>
      </c>
      <c r="B9" s="10">
        <f>'6º ao 9º EFAF'!C8</f>
        <v>24</v>
      </c>
      <c r="C9" s="10">
        <f>'6º ao 9º EFAF'!B8</f>
        <v>25</v>
      </c>
      <c r="D9" s="11">
        <f t="shared" si="3"/>
        <v>0.96</v>
      </c>
      <c r="E9" s="12" t="s">
        <v>49</v>
      </c>
      <c r="F9" s="13">
        <f>IF(AND(ISNUMBER(B9), B9&gt;0, ISNUMBER('6º ao 9º EFAF'!G8)), ('6º ao 9º EFAF'!G8/(B9*3)), 0)</f>
        <v>0.6805555556</v>
      </c>
      <c r="G9" s="12" t="s">
        <v>49</v>
      </c>
      <c r="H9" s="12" t="s">
        <v>49</v>
      </c>
      <c r="I9" s="12" t="s">
        <v>49</v>
      </c>
      <c r="J9" s="13">
        <f>IF(AND(ISNUMBER(B9), B9&gt;0, ISNUMBER('6º ao 9º EFAF'!I8)), ('6º ao 9º EFAF'!I8/(B9*3)), 0)</f>
        <v>0.375</v>
      </c>
      <c r="K9" s="13">
        <f>IF(AND(ISNUMBER(B9), B9&gt;0, ISNUMBER('6º ao 9º EFAF'!H8)), ('6º ao 9º EFAF'!H8/(B9*3)), 0)</f>
        <v>0.1805555556</v>
      </c>
      <c r="L9" s="13">
        <f>IF(AND(ISNUMBER(B9), B9&gt;0, ISNUMBER('6º ao 9º EFAF'!F8)), ('6º ao 9º EFAF'!F8/(B9*3)), 0)</f>
        <v>0.4027777778</v>
      </c>
      <c r="M9" s="13">
        <f>IF(AND(ISNUMBER(B9), B9&gt;0, ISNUMBER('6º ao 9º EFAF'!D8)), ('6º ao 9º EFAF'!D8/(B9*4)), 0)</f>
        <v>0.65625</v>
      </c>
      <c r="N9" s="13">
        <f>IF(AND(ISNUMBER(B9), B9&gt;0, ISNUMBER('6º ao 9º EFAF'!E8)), ('6º ao 9º EFAF'!E8/(B9*4)), 0)</f>
        <v>0.4375</v>
      </c>
      <c r="O9" s="12" t="s">
        <v>49</v>
      </c>
      <c r="P9" s="14">
        <f t="shared" si="4"/>
        <v>0.4554398148</v>
      </c>
    </row>
    <row r="10" ht="21.75" customHeight="1">
      <c r="A10" s="9" t="s">
        <v>48</v>
      </c>
      <c r="B10" s="10">
        <f>'6º ao 9º EFAF'!C9</f>
        <v>24</v>
      </c>
      <c r="C10" s="10">
        <f>'6º ao 9º EFAF'!B9</f>
        <v>26</v>
      </c>
      <c r="D10" s="11">
        <f t="shared" si="3"/>
        <v>0.9230769231</v>
      </c>
      <c r="E10" s="12" t="s">
        <v>49</v>
      </c>
      <c r="F10" s="13">
        <f>IF(AND(ISNUMBER(B10), B10&gt;0, ISNUMBER('6º ao 9º EFAF'!G9)), ('6º ao 9º EFAF'!G9/(B10*3)), 0)</f>
        <v>0.7083333333</v>
      </c>
      <c r="G10" s="12" t="s">
        <v>49</v>
      </c>
      <c r="H10" s="12" t="s">
        <v>49</v>
      </c>
      <c r="I10" s="12" t="s">
        <v>49</v>
      </c>
      <c r="J10" s="13">
        <f>IF(AND(ISNUMBER(B10), B10&gt;0, ISNUMBER('6º ao 9º EFAF'!I9)), ('6º ao 9º EFAF'!I9/(B10*3)), 0)</f>
        <v>0.375</v>
      </c>
      <c r="K10" s="13">
        <f>IF(AND(ISNUMBER(B10), B10&gt;0, ISNUMBER('6º ao 9º EFAF'!H9)), ('6º ao 9º EFAF'!H9/(B10*3)), 0)</f>
        <v>0.1388888889</v>
      </c>
      <c r="L10" s="13">
        <f>IF(AND(ISNUMBER(B10), B10&gt;0, ISNUMBER('6º ao 9º EFAF'!F9)), ('6º ao 9º EFAF'!F9/(B10*3)), 0)</f>
        <v>0.3472222222</v>
      </c>
      <c r="M10" s="13">
        <f>IF(AND(ISNUMBER(B10), B10&gt;0, ISNUMBER('6º ao 9º EFAF'!D9)), ('6º ao 9º EFAF'!D9/(B10*4)), 0)</f>
        <v>0.78125</v>
      </c>
      <c r="N10" s="13">
        <f>IF(AND(ISNUMBER(B10), B10&gt;0, ISNUMBER('6º ao 9º EFAF'!E9)), ('6º ao 9º EFAF'!E9/(B10*4)), 0)</f>
        <v>0.4895833333</v>
      </c>
      <c r="O10" s="12" t="s">
        <v>49</v>
      </c>
      <c r="P10" s="14">
        <f t="shared" si="4"/>
        <v>0.4733796296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10">
    <cfRule type="cellIs" dxfId="0" priority="1" stopIfTrue="1" operator="between">
      <formula>0.50001</formula>
      <formula>1</formula>
    </cfRule>
  </conditionalFormatting>
  <conditionalFormatting sqref="E3:P10">
    <cfRule type="cellIs" dxfId="1" priority="2" stopIfTrue="1" operator="between">
      <formula>0.3</formula>
      <formula>0.5</formula>
    </cfRule>
  </conditionalFormatting>
  <conditionalFormatting sqref="E3:P10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