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<sst xmlns="http://schemas.openxmlformats.org/spreadsheetml/2006/main" count="261" uniqueCount="76">
  <si>
    <t>3ª EM</t>
  </si>
  <si>
    <t>1ª/2ª EM</t>
  </si>
  <si>
    <t>6º ao 9º EFAF</t>
  </si>
  <si>
    <t>Turma</t>
  </si>
  <si>
    <t>Total de Matrículas</t>
  </si>
  <si>
    <t>Alunos que fizeram a avaliação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</si>
  <si>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</si>
  <si>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</si>
  <si>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</si>
  <si>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</si>
  <si>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</si>
  <si>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Total de Acertos</t>
  </si>
  <si>
    <t>3ª SERIE D INTEGRAL 7H T2 ANUAL - 40945194</t>
  </si>
  <si>
    <t>Alunos (Pres.)</t>
  </si>
  <si>
    <t>Total Matric.</t>
  </si>
  <si>
    <t>Part. (%)</t>
  </si>
  <si>
    <t>Biologia</t>
  </si>
  <si>
    <t>Ciências</t>
  </si>
  <si>
    <t>Filosofia</t>
  </si>
  <si>
    <t>Acertos em Língua Portuguesa (Questões 1, 2, 3, 4)</t>
  </si>
  <si>
    <t>Acertos em Matemática (Questões 5, 6, 7, 8)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</si>
  <si>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</si>
  <si>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</si>
  <si>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</si>
  <si>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</si>
  <si>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Sociologia</t>
  </si>
  <si>
    <t>Acertos em Geografia (Questões 17, 18)</t>
  </si>
  <si>
    <t>Física</t>
  </si>
  <si>
    <t>Acertos em Filosofia/Sociologia (Questões 19, 20)</t>
  </si>
  <si>
    <t>Geografia</t>
  </si>
  <si>
    <t>Acertos em Língua Inglesa (Questões 21, 22)</t>
  </si>
  <si>
    <t>História</t>
  </si>
  <si>
    <t>Língua Inglesa</t>
  </si>
  <si>
    <t>Língua Portuguesa</t>
  </si>
  <si>
    <t>1ª SERIE A INTEGRAL 7H T2 ANUAL - 40967637</t>
  </si>
  <si>
    <t>Matemática</t>
  </si>
  <si>
    <t>Acertos em Língua Inglesa (Questões 9, 10, 11)</t>
  </si>
  <si>
    <t>Química</t>
  </si>
  <si>
    <t>Acertos em Ciências (Questões 12, 13, 14)</t>
  </si>
  <si>
    <t>Média Geral</t>
  </si>
  <si>
    <t>Acertos em História (Questões 15, 16, 17)</t>
  </si>
  <si>
    <t>Acertos em Geografia (Questões 18, 19, 20)</t>
  </si>
  <si>
    <t>6° ANO A INTEGRAL 7H T1 ANUAL - 40975446</t>
  </si>
  <si>
    <t>MÉDIA GLOBAL DA ESCOLA</t>
  </si>
  <si>
    <t>3ª SERIE E NOITE ANUAL - 40945197</t>
  </si>
  <si>
    <t>6° ANO B INTEGRAL 7H T1 ANUAL - 40975447</t>
  </si>
  <si>
    <t>3ª SERIE F NOITE ANUAL - 40945196</t>
  </si>
  <si>
    <t>6° ANO C INTEGRAL 7H T1 ANUAL - 40975448</t>
  </si>
  <si>
    <t>3ª SERIE G NOITE ANUAL - 40945195</t>
  </si>
  <si>
    <t>1ª SERIE B INTEGRAL 7H T2 ANUAL - 40967638</t>
  </si>
  <si>
    <t>6° ANO D INTEGRAL 7H T1 ANUAL - 40975449</t>
  </si>
  <si>
    <t>3ª SERIE H NOITE ANUAL - 41373724</t>
  </si>
  <si>
    <t>7° ANO A INTEGRAL 7H T1 ANUAL - 40907744</t>
  </si>
  <si>
    <t>4050 - ADMINISTRAÇÃO - 3ª SERIE A INTEGRAL 7H T2 ANUAL - 40964108</t>
  </si>
  <si>
    <t>1ª SERIE C INTEGRAL 7H T2 ANUAL - 40967639</t>
  </si>
  <si>
    <t>6082 - DESENVOLVIMENTO DE SISTEMAS - 3ª SERIE C INTEGRAL 7H T2 ANUAL - 40964109</t>
  </si>
  <si>
    <t>1ª SERIE D INTEGRAL 7H T2 ANUAL - 40967640</t>
  </si>
  <si>
    <t>7° ANO D INTEGRAL 7H T1 ANUAL - 40907751</t>
  </si>
  <si>
    <t>7º ANO B INTEGRAL 7H T1 ANUAL - 40907747</t>
  </si>
  <si>
    <t>2ª SERIE D NOITE ANUAL - 41358801</t>
  </si>
  <si>
    <t>7º ANO C INTEGRAL 7H T1 ANUAL - 40907746</t>
  </si>
  <si>
    <t>8º ANO A INTEGRAL 7H T1 ANUAL - 40907748</t>
  </si>
  <si>
    <t>2ª SERIE E NOITE ANUAL - 41380193</t>
  </si>
  <si>
    <t>8º ANO B INTEGRAL 7H T1 ANUAL - 40907752</t>
  </si>
  <si>
    <t>2ª SERIE F NOITE ANUAL - 41470093</t>
  </si>
  <si>
    <t>8º ANO C INTEGRAL 7H T1 ANUAL - 40907755</t>
  </si>
  <si>
    <t>8º ANO D INTEGRAL 7H T1 ANUAL - 40907749</t>
  </si>
  <si>
    <t>2ª SERIE G NOITE ANUAL - 41753987</t>
  </si>
  <si>
    <t>8º ANO E INTEGRAL 7H T1 ANUAL - 40907753</t>
  </si>
  <si>
    <t>9° ANO A INTEGRAL 7H T1 ANUAL - 40907750</t>
  </si>
  <si>
    <t>4050 - ADMINISTRAÇÃO - 2ª SERIE A INTEGRAL 7H T2 ANUAL - 41139012</t>
  </si>
  <si>
    <t>9° ANO B INTEGRAL 7H T1 ANUAL - 40907745</t>
  </si>
  <si>
    <t>9° ANO C INTEGRAL 7H T1 ANUAL - 40907754</t>
  </si>
  <si>
    <t>4050 - ADMINISTRAÇÃO - 2ª SERIE B INTEGRAL 7H T2 ANUAL - 41139013</t>
  </si>
  <si>
    <t>6082 - DESENVOLVIMENTO DE SISTEMAS - 2ª SERIE C INTEGRAL 7H T2 ANUAL - 41234675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</si>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</sst>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2</v>
      </c>
      <c r="B1" s="1" t="s">
        <v>4</v>
      </c>
      <c r="C1" s="1" t="s">
        <v>5</v>
      </c>
      <c r="D1" s="1" t="s">
        <v>19</v>
      </c>
      <c r="E1" s="1" t="s">
        <v>20</v>
      </c>
      <c r="F1" s="1" t="s">
        <v>36</v>
      </c>
      <c r="G1" s="1" t="s">
        <v>38</v>
      </c>
      <c r="H1" s="1" t="s">
        <v>40</v>
      </c>
      <c r="I1" s="1" t="s">
        <v>41</v>
      </c>
      <c r="J1" s="1" t="s">
        <v>11</v>
      </c>
    </row>
    <row r="2">
      <c r="A2" s="3" t="s">
        <v>42</v>
      </c>
      <c r="B2" s="4">
        <v>37.0</v>
      </c>
      <c r="C2" s="5">
        <v>31.0</v>
      </c>
      <c r="D2" s="5">
        <v>84.0</v>
      </c>
      <c r="E2" s="5">
        <v>43.0</v>
      </c>
      <c r="F2" s="5">
        <v>64.0</v>
      </c>
      <c r="G2" s="5">
        <v>36.0</v>
      </c>
      <c r="H2" s="5">
        <v>28.0</v>
      </c>
      <c r="I2" s="5">
        <v>49.0</v>
      </c>
      <c r="J2" s="4">
        <f t="shared" ref="J2:J17" si="1">IF(COUNT(D2:I2)&gt;0, SUM(D2:I2), 0)</f>
        <v>304</v>
      </c>
    </row>
    <row r="3">
      <c r="A3" s="3" t="s">
        <v>45</v>
      </c>
      <c r="B3" s="4">
        <v>36.0</v>
      </c>
      <c r="C3" s="5">
        <v>31.0</v>
      </c>
      <c r="D3" s="5">
        <v>84.0</v>
      </c>
      <c r="E3" s="5">
        <v>57.0</v>
      </c>
      <c r="F3" s="5">
        <v>66.0</v>
      </c>
      <c r="G3" s="5">
        <v>38.0</v>
      </c>
      <c r="H3" s="5">
        <v>30.0</v>
      </c>
      <c r="I3" s="5">
        <v>54.0</v>
      </c>
      <c r="J3" s="4">
        <f t="shared" si="1"/>
        <v>329</v>
      </c>
    </row>
    <row r="4">
      <c r="A4" s="3" t="s">
        <v>47</v>
      </c>
      <c r="B4" s="4">
        <v>36.0</v>
      </c>
      <c r="C4" s="5">
        <v>28.0</v>
      </c>
      <c r="D4" s="5">
        <v>74.0</v>
      </c>
      <c r="E4" s="5">
        <v>51.0</v>
      </c>
      <c r="F4" s="5">
        <v>57.0</v>
      </c>
      <c r="G4" s="5">
        <v>42.0</v>
      </c>
      <c r="H4" s="5">
        <v>33.0</v>
      </c>
      <c r="I4" s="5">
        <v>48.0</v>
      </c>
      <c r="J4" s="4">
        <f t="shared" si="1"/>
        <v>305</v>
      </c>
    </row>
    <row r="5">
      <c r="A5" s="3" t="s">
        <v>50</v>
      </c>
      <c r="B5" s="4">
        <v>38.0</v>
      </c>
      <c r="C5" s="5">
        <v>33.0</v>
      </c>
      <c r="D5" s="5">
        <v>90.0</v>
      </c>
      <c r="E5" s="5">
        <v>55.0</v>
      </c>
      <c r="F5" s="5">
        <v>60.0</v>
      </c>
      <c r="G5" s="5">
        <v>48.0</v>
      </c>
      <c r="H5" s="5">
        <v>28.0</v>
      </c>
      <c r="I5" s="5">
        <v>37.0</v>
      </c>
      <c r="J5" s="4">
        <f t="shared" si="1"/>
        <v>318</v>
      </c>
    </row>
    <row r="6">
      <c r="A6" s="3" t="s">
        <v>52</v>
      </c>
      <c r="B6" s="4">
        <v>32.0</v>
      </c>
      <c r="C6" s="5">
        <v>26.0</v>
      </c>
      <c r="D6" s="5">
        <v>63.0</v>
      </c>
      <c r="E6" s="5">
        <v>45.0</v>
      </c>
      <c r="F6" s="5">
        <v>49.0</v>
      </c>
      <c r="G6" s="5">
        <v>49.0</v>
      </c>
      <c r="H6" s="5">
        <v>37.0</v>
      </c>
      <c r="I6" s="5">
        <v>49.0</v>
      </c>
      <c r="J6" s="4">
        <f t="shared" si="1"/>
        <v>292</v>
      </c>
    </row>
    <row r="7">
      <c r="A7" s="3" t="s">
        <v>57</v>
      </c>
      <c r="B7" s="4">
        <v>33.0</v>
      </c>
      <c r="C7" s="5">
        <v>29.0</v>
      </c>
      <c r="D7" s="5">
        <v>64.0</v>
      </c>
      <c r="E7" s="5">
        <v>42.0</v>
      </c>
      <c r="F7" s="5">
        <v>42.0</v>
      </c>
      <c r="G7" s="5">
        <v>46.0</v>
      </c>
      <c r="H7" s="5">
        <v>43.0</v>
      </c>
      <c r="I7" s="5">
        <v>41.0</v>
      </c>
      <c r="J7" s="4">
        <f t="shared" si="1"/>
        <v>278</v>
      </c>
    </row>
    <row r="8">
      <c r="A8" s="3" t="s">
        <v>58</v>
      </c>
      <c r="B8" s="4">
        <v>33.0</v>
      </c>
      <c r="C8" s="5">
        <v>29.0</v>
      </c>
      <c r="D8" s="5">
        <v>59.0</v>
      </c>
      <c r="E8" s="5">
        <v>41.0</v>
      </c>
      <c r="F8" s="5">
        <v>49.0</v>
      </c>
      <c r="G8" s="5">
        <v>49.0</v>
      </c>
      <c r="H8" s="5">
        <v>37.0</v>
      </c>
      <c r="I8" s="5">
        <v>49.0</v>
      </c>
      <c r="J8" s="4">
        <f t="shared" si="1"/>
        <v>284</v>
      </c>
    </row>
    <row r="9">
      <c r="A9" s="3" t="s">
        <v>60</v>
      </c>
      <c r="B9" s="4">
        <v>35.0</v>
      </c>
      <c r="C9" s="5">
        <v>31.0</v>
      </c>
      <c r="D9" s="5">
        <v>63.0</v>
      </c>
      <c r="E9" s="5">
        <v>43.0</v>
      </c>
      <c r="F9" s="5">
        <v>54.0</v>
      </c>
      <c r="G9" s="5">
        <v>54.0</v>
      </c>
      <c r="H9" s="5">
        <v>33.0</v>
      </c>
      <c r="I9" s="5">
        <v>49.0</v>
      </c>
      <c r="J9" s="4">
        <f t="shared" si="1"/>
        <v>296</v>
      </c>
    </row>
    <row r="10">
      <c r="A10" s="3" t="s">
        <v>61</v>
      </c>
      <c r="B10" s="4">
        <v>35.0</v>
      </c>
      <c r="C10" s="5">
        <v>32.0</v>
      </c>
      <c r="D10" s="5">
        <v>94.0</v>
      </c>
      <c r="E10" s="5">
        <v>59.0</v>
      </c>
      <c r="F10" s="5">
        <v>59.0</v>
      </c>
      <c r="G10" s="5">
        <v>52.0</v>
      </c>
      <c r="H10" s="5">
        <v>45.0</v>
      </c>
      <c r="I10" s="5">
        <v>39.0</v>
      </c>
      <c r="J10" s="4">
        <f t="shared" si="1"/>
        <v>348</v>
      </c>
    </row>
    <row r="11">
      <c r="A11" s="3" t="s">
        <v>63</v>
      </c>
      <c r="B11" s="4">
        <v>35.0</v>
      </c>
      <c r="C11" s="5">
        <v>31.0</v>
      </c>
      <c r="D11" s="5">
        <v>65.0</v>
      </c>
      <c r="E11" s="5">
        <v>67.0</v>
      </c>
      <c r="F11" s="5">
        <v>53.0</v>
      </c>
      <c r="G11" s="5">
        <v>57.0</v>
      </c>
      <c r="H11" s="5">
        <v>54.0</v>
      </c>
      <c r="I11" s="5">
        <v>44.0</v>
      </c>
      <c r="J11" s="4">
        <f t="shared" si="1"/>
        <v>340</v>
      </c>
    </row>
    <row r="12">
      <c r="A12" s="3" t="s">
        <v>65</v>
      </c>
      <c r="B12" s="4">
        <v>30.0</v>
      </c>
      <c r="C12" s="5">
        <v>25.0</v>
      </c>
      <c r="D12" s="5">
        <v>70.0</v>
      </c>
      <c r="E12" s="5">
        <v>43.0</v>
      </c>
      <c r="F12" s="5">
        <v>50.0</v>
      </c>
      <c r="G12" s="5">
        <v>54.0</v>
      </c>
      <c r="H12" s="5">
        <v>44.0</v>
      </c>
      <c r="I12" s="5">
        <v>21.0</v>
      </c>
      <c r="J12" s="4">
        <f t="shared" si="1"/>
        <v>282</v>
      </c>
    </row>
    <row r="13">
      <c r="A13" s="3" t="s">
        <v>66</v>
      </c>
      <c r="B13" s="4">
        <v>32.0</v>
      </c>
      <c r="C13" s="5">
        <v>28.0</v>
      </c>
      <c r="D13" s="5">
        <v>59.0</v>
      </c>
      <c r="E13" s="5">
        <v>29.0</v>
      </c>
      <c r="F13" s="5">
        <v>41.0</v>
      </c>
      <c r="G13" s="5">
        <v>41.0</v>
      </c>
      <c r="H13" s="5">
        <v>35.0</v>
      </c>
      <c r="I13" s="5">
        <v>33.0</v>
      </c>
      <c r="J13" s="4">
        <f t="shared" si="1"/>
        <v>238</v>
      </c>
    </row>
    <row r="14">
      <c r="A14" s="3" t="s">
        <v>68</v>
      </c>
      <c r="B14" s="4">
        <v>28.0</v>
      </c>
      <c r="C14" s="5">
        <v>25.0</v>
      </c>
      <c r="D14" s="5">
        <v>76.0</v>
      </c>
      <c r="E14" s="5">
        <v>30.0</v>
      </c>
      <c r="F14" s="5">
        <v>48.0</v>
      </c>
      <c r="G14" s="5">
        <v>47.0</v>
      </c>
      <c r="H14" s="5">
        <v>44.0</v>
      </c>
      <c r="I14" s="5">
        <v>25.0</v>
      </c>
      <c r="J14" s="4">
        <f t="shared" si="1"/>
        <v>270</v>
      </c>
    </row>
    <row r="15">
      <c r="A15" s="3" t="s">
        <v>69</v>
      </c>
      <c r="B15" s="4">
        <v>37.0</v>
      </c>
      <c r="C15" s="5">
        <v>33.0</v>
      </c>
      <c r="D15" s="5">
        <v>77.0</v>
      </c>
      <c r="E15" s="5">
        <v>39.0</v>
      </c>
      <c r="F15" s="5">
        <v>60.0</v>
      </c>
      <c r="G15" s="5">
        <v>57.0</v>
      </c>
      <c r="H15" s="5">
        <v>30.0</v>
      </c>
      <c r="I15" s="5">
        <v>38.0</v>
      </c>
      <c r="J15" s="4">
        <f t="shared" si="1"/>
        <v>301</v>
      </c>
    </row>
    <row r="16">
      <c r="A16" s="3" t="s">
        <v>71</v>
      </c>
      <c r="B16" s="4">
        <v>35.0</v>
      </c>
      <c r="C16" s="5">
        <v>29.0</v>
      </c>
      <c r="D16" s="5">
        <v>64.0</v>
      </c>
      <c r="E16" s="5">
        <v>27.0</v>
      </c>
      <c r="F16" s="5">
        <v>38.0</v>
      </c>
      <c r="G16" s="5">
        <v>50.0</v>
      </c>
      <c r="H16" s="5">
        <v>22.0</v>
      </c>
      <c r="I16" s="5">
        <v>38.0</v>
      </c>
      <c r="J16" s="4">
        <f t="shared" si="1"/>
        <v>239</v>
      </c>
    </row>
    <row r="17">
      <c r="A17" s="3" t="s">
        <v>72</v>
      </c>
      <c r="B17" s="4">
        <v>38.0</v>
      </c>
      <c r="C17" s="5">
        <v>31.0</v>
      </c>
      <c r="D17" s="5">
        <v>65.0</v>
      </c>
      <c r="E17" s="5">
        <v>37.0</v>
      </c>
      <c r="F17" s="5">
        <v>42.0</v>
      </c>
      <c r="G17" s="5">
        <v>51.0</v>
      </c>
      <c r="H17" s="5">
        <v>24.0</v>
      </c>
      <c r="I17" s="5">
        <v>32.0</v>
      </c>
      <c r="J17" s="4">
        <f t="shared" si="1"/>
        <v>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1</v>
      </c>
      <c r="B1" s="1" t="s">
        <v>4</v>
      </c>
      <c r="C1" s="1" t="s">
        <v>5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26</v>
      </c>
      <c r="K1" s="1" t="s">
        <v>28</v>
      </c>
      <c r="L1" s="1" t="s">
        <v>30</v>
      </c>
      <c r="M1" s="1" t="s">
        <v>11</v>
      </c>
    </row>
    <row r="2">
      <c r="A2" s="3" t="s">
        <v>34</v>
      </c>
      <c r="B2" s="4">
        <v>32.0</v>
      </c>
      <c r="C2" s="5">
        <v>25.0</v>
      </c>
      <c r="D2" s="5">
        <v>48.0</v>
      </c>
      <c r="E2" s="5">
        <v>36.0</v>
      </c>
      <c r="F2" s="5">
        <v>14.0</v>
      </c>
      <c r="G2" s="5">
        <v>10.0</v>
      </c>
      <c r="H2" s="5">
        <v>14.0</v>
      </c>
      <c r="I2" s="5">
        <v>20.0</v>
      </c>
      <c r="J2" s="5">
        <v>17.0</v>
      </c>
      <c r="K2" s="5">
        <v>17.0</v>
      </c>
      <c r="L2" s="5">
        <v>24.0</v>
      </c>
      <c r="M2" s="4">
        <f t="shared" ref="M2:M12" si="1">IF(COUNT(D2:L2)&gt;0, SUM(D2:L2), 0)</f>
        <v>200</v>
      </c>
    </row>
    <row r="3">
      <c r="A3" s="3" t="s">
        <v>49</v>
      </c>
      <c r="B3" s="4">
        <v>27.0</v>
      </c>
      <c r="C3" s="5">
        <v>18.0</v>
      </c>
      <c r="D3" s="5">
        <v>53.0</v>
      </c>
      <c r="E3" s="5">
        <v>34.0</v>
      </c>
      <c r="F3" s="5">
        <v>19.0</v>
      </c>
      <c r="G3" s="5">
        <v>9.0</v>
      </c>
      <c r="H3" s="5">
        <v>16.0</v>
      </c>
      <c r="I3" s="5">
        <v>13.0</v>
      </c>
      <c r="J3" s="5">
        <v>12.0</v>
      </c>
      <c r="K3" s="5">
        <v>11.0</v>
      </c>
      <c r="L3" s="5">
        <v>26.0</v>
      </c>
      <c r="M3" s="4">
        <f t="shared" si="1"/>
        <v>193</v>
      </c>
    </row>
    <row r="4">
      <c r="A4" s="3" t="s">
        <v>54</v>
      </c>
      <c r="B4" s="4">
        <v>27.0</v>
      </c>
      <c r="C4" s="5">
        <v>22.0</v>
      </c>
      <c r="D4" s="5">
        <v>47.0</v>
      </c>
      <c r="E4" s="5">
        <v>30.0</v>
      </c>
      <c r="F4" s="5">
        <v>16.0</v>
      </c>
      <c r="G4" s="5">
        <v>14.0</v>
      </c>
      <c r="H4" s="5">
        <v>14.0</v>
      </c>
      <c r="I4" s="5">
        <v>13.0</v>
      </c>
      <c r="J4" s="5">
        <v>12.0</v>
      </c>
      <c r="K4" s="5">
        <v>15.0</v>
      </c>
      <c r="L4" s="5">
        <v>19.0</v>
      </c>
      <c r="M4" s="4">
        <f t="shared" si="1"/>
        <v>180</v>
      </c>
    </row>
    <row r="5">
      <c r="A5" s="3" t="s">
        <v>56</v>
      </c>
      <c r="B5" s="4">
        <v>28.0</v>
      </c>
      <c r="C5" s="5">
        <v>22.0</v>
      </c>
      <c r="D5" s="5">
        <v>50.0</v>
      </c>
      <c r="E5" s="5">
        <v>26.0</v>
      </c>
      <c r="F5" s="5">
        <v>13.0</v>
      </c>
      <c r="G5" s="5">
        <v>13.0</v>
      </c>
      <c r="H5" s="5">
        <v>19.0</v>
      </c>
      <c r="I5" s="5">
        <v>18.0</v>
      </c>
      <c r="J5" s="5">
        <v>14.0</v>
      </c>
      <c r="K5" s="5">
        <v>14.0</v>
      </c>
      <c r="L5" s="4"/>
      <c r="M5" s="4">
        <f t="shared" si="1"/>
        <v>167</v>
      </c>
    </row>
    <row r="6">
      <c r="A6" s="3" t="s">
        <v>59</v>
      </c>
      <c r="B6" s="4">
        <v>39.0</v>
      </c>
      <c r="C6" s="5">
        <v>28.0</v>
      </c>
      <c r="D6" s="5">
        <v>73.0</v>
      </c>
      <c r="E6" s="5">
        <v>66.0</v>
      </c>
      <c r="F6" s="5">
        <v>26.0</v>
      </c>
      <c r="G6" s="5">
        <v>28.0</v>
      </c>
      <c r="H6" s="5">
        <v>33.0</v>
      </c>
      <c r="I6" s="5">
        <v>35.0</v>
      </c>
      <c r="J6" s="5">
        <v>28.0</v>
      </c>
      <c r="K6" s="5">
        <v>32.0</v>
      </c>
      <c r="L6" s="5">
        <v>33.0</v>
      </c>
      <c r="M6" s="4">
        <f t="shared" si="1"/>
        <v>354</v>
      </c>
    </row>
    <row r="7">
      <c r="A7" s="3" t="s">
        <v>62</v>
      </c>
      <c r="B7" s="4">
        <v>38.0</v>
      </c>
      <c r="C7" s="5">
        <v>29.0</v>
      </c>
      <c r="D7" s="5">
        <v>68.0</v>
      </c>
      <c r="E7" s="5">
        <v>73.0</v>
      </c>
      <c r="F7" s="5">
        <v>45.0</v>
      </c>
      <c r="G7" s="5">
        <v>31.0</v>
      </c>
      <c r="H7" s="5">
        <v>15.0</v>
      </c>
      <c r="I7" s="5">
        <v>43.0</v>
      </c>
      <c r="J7" s="5">
        <v>35.0</v>
      </c>
      <c r="K7" s="5">
        <v>45.0</v>
      </c>
      <c r="L7" s="5">
        <v>25.0</v>
      </c>
      <c r="M7" s="4">
        <f t="shared" si="1"/>
        <v>380</v>
      </c>
    </row>
    <row r="8">
      <c r="A8" s="3" t="s">
        <v>64</v>
      </c>
      <c r="B8" s="4">
        <v>36.0</v>
      </c>
      <c r="C8" s="5">
        <v>25.0</v>
      </c>
      <c r="D8" s="5">
        <v>75.0</v>
      </c>
      <c r="E8" s="5">
        <v>60.0</v>
      </c>
      <c r="F8" s="5">
        <v>19.0</v>
      </c>
      <c r="G8" s="5">
        <v>35.0</v>
      </c>
      <c r="H8" s="5">
        <v>28.0</v>
      </c>
      <c r="I8" s="5">
        <v>31.0</v>
      </c>
      <c r="J8" s="5">
        <v>38.0</v>
      </c>
      <c r="K8" s="5">
        <v>36.0</v>
      </c>
      <c r="L8" s="5">
        <v>36.0</v>
      </c>
      <c r="M8" s="4">
        <f t="shared" si="1"/>
        <v>358</v>
      </c>
    </row>
    <row r="9">
      <c r="A9" s="3" t="s">
        <v>67</v>
      </c>
      <c r="B9" s="4">
        <v>29.0</v>
      </c>
      <c r="C9" s="5">
        <v>22.0</v>
      </c>
      <c r="D9" s="5">
        <v>18.0</v>
      </c>
      <c r="E9" s="5">
        <v>15.0</v>
      </c>
      <c r="F9" s="5">
        <v>30.0</v>
      </c>
      <c r="G9" s="5">
        <v>14.0</v>
      </c>
      <c r="H9" s="5">
        <v>18.0</v>
      </c>
      <c r="I9" s="5">
        <v>30.0</v>
      </c>
      <c r="J9" s="5">
        <v>8.0</v>
      </c>
      <c r="K9" s="5">
        <v>18.0</v>
      </c>
      <c r="L9" s="5">
        <v>26.0</v>
      </c>
      <c r="M9" s="4">
        <f t="shared" si="1"/>
        <v>177</v>
      </c>
    </row>
    <row r="10">
      <c r="A10" s="3" t="s">
        <v>70</v>
      </c>
      <c r="B10" s="4">
        <v>22.0</v>
      </c>
      <c r="C10" s="5">
        <v>19.0</v>
      </c>
      <c r="D10" s="5">
        <v>49.0</v>
      </c>
      <c r="E10" s="5">
        <v>49.0</v>
      </c>
      <c r="F10" s="5">
        <v>23.0</v>
      </c>
      <c r="G10" s="5">
        <v>25.0</v>
      </c>
      <c r="H10" s="5">
        <v>24.0</v>
      </c>
      <c r="I10" s="5">
        <v>33.0</v>
      </c>
      <c r="J10" s="5">
        <v>34.0</v>
      </c>
      <c r="K10" s="5">
        <v>33.0</v>
      </c>
      <c r="L10" s="5">
        <v>34.0</v>
      </c>
      <c r="M10" s="4">
        <f t="shared" si="1"/>
        <v>304</v>
      </c>
    </row>
    <row r="11">
      <c r="A11" s="3" t="s">
        <v>73</v>
      </c>
      <c r="B11" s="4">
        <v>26.0</v>
      </c>
      <c r="C11" s="5">
        <v>12.0</v>
      </c>
      <c r="D11" s="5">
        <v>26.0</v>
      </c>
      <c r="E11" s="5">
        <v>15.0</v>
      </c>
      <c r="F11" s="5">
        <v>5.0</v>
      </c>
      <c r="G11" s="5">
        <v>8.0</v>
      </c>
      <c r="H11" s="5">
        <v>6.0</v>
      </c>
      <c r="I11" s="5">
        <v>12.0</v>
      </c>
      <c r="J11" s="5">
        <v>9.0</v>
      </c>
      <c r="K11" s="5">
        <v>8.0</v>
      </c>
      <c r="L11" s="5">
        <v>11.0</v>
      </c>
      <c r="M11" s="4">
        <f t="shared" si="1"/>
        <v>100</v>
      </c>
    </row>
    <row r="12">
      <c r="A12" s="3" t="s">
        <v>74</v>
      </c>
      <c r="B12" s="4">
        <v>18.0</v>
      </c>
      <c r="C12" s="5">
        <v>17.0</v>
      </c>
      <c r="D12" s="5">
        <v>30.0</v>
      </c>
      <c r="E12" s="5">
        <v>26.0</v>
      </c>
      <c r="F12" s="5">
        <v>8.0</v>
      </c>
      <c r="G12" s="5">
        <v>13.0</v>
      </c>
      <c r="H12" s="5">
        <v>16.0</v>
      </c>
      <c r="I12" s="5">
        <v>14.0</v>
      </c>
      <c r="J12" s="5">
        <v>3.0</v>
      </c>
      <c r="K12" s="5">
        <v>10.0</v>
      </c>
      <c r="L12" s="5">
        <v>13.0</v>
      </c>
      <c r="M12" s="4">
        <f t="shared" si="1"/>
        <v>133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5.86"/>
    <col customWidth="1" min="2" max="9" width="16.0"/>
    <col customWidth="1" min="10" max="26" width="8.71"/>
  </cols>
  <sheetData>
    <row r="1" ht="64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3" t="s">
        <v>12</v>
      </c>
      <c r="B2" s="4">
        <v>22.0</v>
      </c>
      <c r="C2" s="5">
        <v>17.0</v>
      </c>
      <c r="D2" s="5">
        <v>63.0</v>
      </c>
      <c r="E2" s="5">
        <v>51.0</v>
      </c>
      <c r="F2" s="5">
        <v>28.0</v>
      </c>
      <c r="G2" s="5">
        <v>51.0</v>
      </c>
      <c r="H2" s="5">
        <v>51.0</v>
      </c>
      <c r="I2" s="4">
        <f t="shared" ref="I2:I8" si="1">IF(COUNT(D2:H2)&gt;0, SUM(D2:H2), 0)</f>
        <v>244</v>
      </c>
    </row>
    <row r="3">
      <c r="A3" s="3" t="s">
        <v>44</v>
      </c>
      <c r="B3" s="4">
        <v>39.0</v>
      </c>
      <c r="C3" s="5">
        <v>23.0</v>
      </c>
      <c r="D3" s="5">
        <v>71.0</v>
      </c>
      <c r="E3" s="5">
        <v>51.0</v>
      </c>
      <c r="F3" s="5">
        <v>31.0</v>
      </c>
      <c r="G3" s="5">
        <v>70.0</v>
      </c>
      <c r="H3" s="5">
        <v>74.0</v>
      </c>
      <c r="I3" s="4">
        <f t="shared" si="1"/>
        <v>297</v>
      </c>
    </row>
    <row r="4">
      <c r="A4" s="3" t="s">
        <v>46</v>
      </c>
      <c r="B4" s="4">
        <v>40.0</v>
      </c>
      <c r="C4" s="5">
        <v>20.0</v>
      </c>
      <c r="D4" s="5">
        <v>75.0</v>
      </c>
      <c r="E4" s="5">
        <v>53.0</v>
      </c>
      <c r="F4" s="5">
        <v>22.0</v>
      </c>
      <c r="G4" s="5">
        <v>59.0</v>
      </c>
      <c r="H4" s="5">
        <v>62.0</v>
      </c>
      <c r="I4" s="4">
        <f t="shared" si="1"/>
        <v>271</v>
      </c>
    </row>
    <row r="5">
      <c r="A5" s="3" t="s">
        <v>48</v>
      </c>
      <c r="B5" s="4">
        <v>39.0</v>
      </c>
      <c r="C5" s="5">
        <v>28.0</v>
      </c>
      <c r="D5" s="5">
        <v>97.0</v>
      </c>
      <c r="E5" s="5">
        <v>57.0</v>
      </c>
      <c r="F5" s="5">
        <v>48.0</v>
      </c>
      <c r="G5" s="5">
        <v>95.0</v>
      </c>
      <c r="H5" s="5">
        <v>82.0</v>
      </c>
      <c r="I5" s="4">
        <f t="shared" si="1"/>
        <v>379</v>
      </c>
    </row>
    <row r="6">
      <c r="A6" s="3" t="s">
        <v>51</v>
      </c>
      <c r="B6" s="4">
        <v>39.0</v>
      </c>
      <c r="C6" s="5">
        <v>28.0</v>
      </c>
      <c r="D6" s="5">
        <v>106.0</v>
      </c>
      <c r="E6" s="5">
        <v>71.0</v>
      </c>
      <c r="F6" s="5">
        <v>39.0</v>
      </c>
      <c r="G6" s="5">
        <v>89.0</v>
      </c>
      <c r="H6" s="5">
        <v>69.0</v>
      </c>
      <c r="I6" s="4">
        <f t="shared" si="1"/>
        <v>374</v>
      </c>
    </row>
    <row r="7">
      <c r="A7" s="3" t="s">
        <v>53</v>
      </c>
      <c r="B7" s="4">
        <v>38.0</v>
      </c>
      <c r="C7" s="5">
        <v>33.0</v>
      </c>
      <c r="D7" s="5">
        <v>122.0</v>
      </c>
      <c r="E7" s="5">
        <v>64.0</v>
      </c>
      <c r="F7" s="5">
        <v>41.0</v>
      </c>
      <c r="G7" s="5">
        <v>74.0</v>
      </c>
      <c r="H7" s="5">
        <v>47.0</v>
      </c>
      <c r="I7" s="4">
        <f t="shared" si="1"/>
        <v>348</v>
      </c>
    </row>
    <row r="8">
      <c r="A8" s="3" t="s">
        <v>55</v>
      </c>
      <c r="B8" s="4">
        <v>16.0</v>
      </c>
      <c r="C8" s="5">
        <v>12.0</v>
      </c>
      <c r="D8" s="5">
        <v>29.0</v>
      </c>
      <c r="E8" s="5">
        <v>21.0</v>
      </c>
      <c r="F8" s="5">
        <v>15.0</v>
      </c>
      <c r="G8" s="5">
        <v>18.0</v>
      </c>
      <c r="H8" s="5">
        <v>13.0</v>
      </c>
      <c r="I8" s="4">
        <f t="shared" si="1"/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3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25</v>
      </c>
      <c r="I1" s="2" t="s">
        <v>27</v>
      </c>
      <c r="J1" s="2" t="s">
        <v>29</v>
      </c>
      <c r="K1" s="2" t="s">
        <v>31</v>
      </c>
      <c r="L1" s="2" t="s">
        <v>32</v>
      </c>
      <c r="M1" s="2" t="s">
        <v>33</v>
      </c>
      <c r="N1" s="2" t="s">
        <v>35</v>
      </c>
      <c r="O1" s="2" t="s">
        <v>37</v>
      </c>
      <c r="P1" s="2" t="s">
        <v>39</v>
      </c>
    </row>
    <row r="2" ht="27.75" customHeight="1">
      <c r="A2" s="6" t="s">
        <v>43</v>
      </c>
      <c r="B2" s="7">
        <f t="shared" ref="B2:C2" si="1">IFERROR(SUM(B3:B36), 0)</f>
        <v>872</v>
      </c>
      <c r="C2" s="7">
        <f t="shared" si="1"/>
        <v>1105</v>
      </c>
      <c r="D2" s="8">
        <f t="shared" ref="D2:D36" si="3">IF(AND(ISNUMBER(C2), C2&gt;0, ISNUMBER(B2)), B2/C2, 0)</f>
        <v>0.7891402715</v>
      </c>
      <c r="E2" s="8">
        <f t="shared" ref="E2:P2" si="2">IFERROR(AVERAGEIF(E3:E36, "&gt;0"), 0)</f>
        <v>0.4221462673</v>
      </c>
      <c r="F2" s="8">
        <f t="shared" si="2"/>
        <v>0.5480963022</v>
      </c>
      <c r="G2" s="8">
        <f t="shared" si="2"/>
        <v>0.3261616162</v>
      </c>
      <c r="H2" s="8">
        <f t="shared" si="2"/>
        <v>0.5674647975</v>
      </c>
      <c r="I2" s="8">
        <f t="shared" si="2"/>
        <v>0.4022965702</v>
      </c>
      <c r="J2" s="8">
        <f t="shared" si="2"/>
        <v>0.4429632675</v>
      </c>
      <c r="K2" s="8">
        <f t="shared" si="2"/>
        <v>0.507126923</v>
      </c>
      <c r="L2" s="8">
        <f t="shared" si="2"/>
        <v>0.5883681966</v>
      </c>
      <c r="M2" s="8">
        <f t="shared" si="2"/>
        <v>0.6087044696</v>
      </c>
      <c r="N2" s="8">
        <f t="shared" si="2"/>
        <v>0.4121505026</v>
      </c>
      <c r="O2" s="8">
        <f t="shared" si="2"/>
        <v>0.4081710865</v>
      </c>
      <c r="P2" s="8">
        <f t="shared" si="2"/>
        <v>0.5020758822</v>
      </c>
    </row>
    <row r="3" ht="21.75" customHeight="1">
      <c r="A3" s="9" t="s">
        <v>42</v>
      </c>
      <c r="B3" s="10">
        <f>'6º ao 9º EFAF'!C2</f>
        <v>31</v>
      </c>
      <c r="C3" s="10">
        <f>'6º ao 9º EFAF'!B2</f>
        <v>37</v>
      </c>
      <c r="D3" s="11">
        <f t="shared" si="3"/>
        <v>0.8378378378</v>
      </c>
      <c r="E3" s="12" t="s">
        <v>75</v>
      </c>
      <c r="F3" s="13">
        <f>IF(AND(ISNUMBER(B3), B3&gt;0, ISNUMBER('6º ao 9º EFAF'!G2)), ('6º ao 9º EFAF'!G2/(B3*3)), 0)</f>
        <v>0.3870967742</v>
      </c>
      <c r="G3" s="12" t="s">
        <v>75</v>
      </c>
      <c r="H3" s="12" t="s">
        <v>75</v>
      </c>
      <c r="I3" s="12" t="s">
        <v>75</v>
      </c>
      <c r="J3" s="13">
        <f>IF(AND(ISNUMBER(B3), B3&gt;0, ISNUMBER('6º ao 9º EFAF'!I2)), ('6º ao 9º EFAF'!I2/(B3*3)), 0)</f>
        <v>0.5268817204</v>
      </c>
      <c r="K3" s="13">
        <f>IF(AND(ISNUMBER(B3), B3&gt;0, ISNUMBER('6º ao 9º EFAF'!H2)), ('6º ao 9º EFAF'!H2/(B3*3)), 0)</f>
        <v>0.3010752688</v>
      </c>
      <c r="L3" s="13">
        <f>IF(AND(ISNUMBER(B3), B3&gt;0, ISNUMBER('6º ao 9º EFAF'!F2)), ('6º ao 9º EFAF'!F2/(B3*3)), 0)</f>
        <v>0.688172043</v>
      </c>
      <c r="M3" s="13">
        <f>IF(AND(ISNUMBER(B3), B3&gt;0, ISNUMBER('6º ao 9º EFAF'!D2)), ('6º ao 9º EFAF'!D2/(B3*4)), 0)</f>
        <v>0.6774193548</v>
      </c>
      <c r="N3" s="13">
        <f>IF(AND(ISNUMBER(B3), B3&gt;0, ISNUMBER('6º ao 9º EFAF'!E2)), ('6º ao 9º EFAF'!E2/(B3*4)), 0)</f>
        <v>0.3467741935</v>
      </c>
      <c r="O3" s="12" t="s">
        <v>75</v>
      </c>
      <c r="P3" s="14">
        <f t="shared" ref="P3:P36" si="4">IFERROR(AVERAGEIF(E3:O3, "&gt;0"), 0)</f>
        <v>0.4879032258</v>
      </c>
    </row>
    <row r="4" ht="21.75" customHeight="1">
      <c r="A4" s="9" t="s">
        <v>45</v>
      </c>
      <c r="B4" s="10">
        <f>'6º ao 9º EFAF'!C3</f>
        <v>31</v>
      </c>
      <c r="C4" s="10">
        <f>'6º ao 9º EFAF'!B3</f>
        <v>36</v>
      </c>
      <c r="D4" s="11">
        <f t="shared" si="3"/>
        <v>0.8611111111</v>
      </c>
      <c r="E4" s="12" t="s">
        <v>75</v>
      </c>
      <c r="F4" s="13">
        <f>IF(AND(ISNUMBER(B4), B4&gt;0, ISNUMBER('6º ao 9º EFAF'!G3)), ('6º ao 9º EFAF'!G3/(B4*3)), 0)</f>
        <v>0.4086021505</v>
      </c>
      <c r="G4" s="12" t="s">
        <v>75</v>
      </c>
      <c r="H4" s="12" t="s">
        <v>75</v>
      </c>
      <c r="I4" s="12" t="s">
        <v>75</v>
      </c>
      <c r="J4" s="13">
        <f>IF(AND(ISNUMBER(B4), B4&gt;0, ISNUMBER('6º ao 9º EFAF'!I3)), ('6º ao 9º EFAF'!I3/(B4*3)), 0)</f>
        <v>0.5806451613</v>
      </c>
      <c r="K4" s="13">
        <f>IF(AND(ISNUMBER(B4), B4&gt;0, ISNUMBER('6º ao 9º EFAF'!H3)), ('6º ao 9º EFAF'!H3/(B4*3)), 0)</f>
        <v>0.3225806452</v>
      </c>
      <c r="L4" s="13">
        <f>IF(AND(ISNUMBER(B4), B4&gt;0, ISNUMBER('6º ao 9º EFAF'!F3)), ('6º ao 9º EFAF'!F3/(B4*3)), 0)</f>
        <v>0.7096774194</v>
      </c>
      <c r="M4" s="13">
        <f>IF(AND(ISNUMBER(B4), B4&gt;0, ISNUMBER('6º ao 9º EFAF'!D3)), ('6º ao 9º EFAF'!D3/(B4*4)), 0)</f>
        <v>0.6774193548</v>
      </c>
      <c r="N4" s="13">
        <f>IF(AND(ISNUMBER(B4), B4&gt;0, ISNUMBER('6º ao 9º EFAF'!E3)), ('6º ao 9º EFAF'!E3/(B4*4)), 0)</f>
        <v>0.4596774194</v>
      </c>
      <c r="O4" s="12" t="s">
        <v>75</v>
      </c>
      <c r="P4" s="14">
        <f t="shared" si="4"/>
        <v>0.5264336918</v>
      </c>
    </row>
    <row r="5" ht="21.75" customHeight="1">
      <c r="A5" s="9" t="s">
        <v>47</v>
      </c>
      <c r="B5" s="10">
        <f>'6º ao 9º EFAF'!C4</f>
        <v>28</v>
      </c>
      <c r="C5" s="10">
        <f>'6º ao 9º EFAF'!B4</f>
        <v>36</v>
      </c>
      <c r="D5" s="11">
        <f t="shared" si="3"/>
        <v>0.7777777778</v>
      </c>
      <c r="E5" s="12" t="s">
        <v>75</v>
      </c>
      <c r="F5" s="13">
        <f>IF(AND(ISNUMBER(B5), B5&gt;0, ISNUMBER('6º ao 9º EFAF'!G4)), ('6º ao 9º EFAF'!G4/(B5*3)), 0)</f>
        <v>0.5</v>
      </c>
      <c r="G5" s="12" t="s">
        <v>75</v>
      </c>
      <c r="H5" s="12" t="s">
        <v>75</v>
      </c>
      <c r="I5" s="12" t="s">
        <v>75</v>
      </c>
      <c r="J5" s="13">
        <f>IF(AND(ISNUMBER(B5), B5&gt;0, ISNUMBER('6º ao 9º EFAF'!I4)), ('6º ao 9º EFAF'!I4/(B5*3)), 0)</f>
        <v>0.5714285714</v>
      </c>
      <c r="K5" s="13">
        <f>IF(AND(ISNUMBER(B5), B5&gt;0, ISNUMBER('6º ao 9º EFAF'!H4)), ('6º ao 9º EFAF'!H4/(B5*3)), 0)</f>
        <v>0.3928571429</v>
      </c>
      <c r="L5" s="13">
        <f>IF(AND(ISNUMBER(B5), B5&gt;0, ISNUMBER('6º ao 9º EFAF'!F4)), ('6º ao 9º EFAF'!F4/(B5*3)), 0)</f>
        <v>0.6785714286</v>
      </c>
      <c r="M5" s="13">
        <f>IF(AND(ISNUMBER(B5), B5&gt;0, ISNUMBER('6º ao 9º EFAF'!D4)), ('6º ao 9º EFAF'!D4/(B5*4)), 0)</f>
        <v>0.6607142857</v>
      </c>
      <c r="N5" s="13">
        <f>IF(AND(ISNUMBER(B5), B5&gt;0, ISNUMBER('6º ao 9º EFAF'!E4)), ('6º ao 9º EFAF'!E4/(B5*4)), 0)</f>
        <v>0.4553571429</v>
      </c>
      <c r="O5" s="12" t="s">
        <v>75</v>
      </c>
      <c r="P5" s="14">
        <f t="shared" si="4"/>
        <v>0.5431547619</v>
      </c>
    </row>
    <row r="6" ht="21.75" customHeight="1">
      <c r="A6" s="9" t="s">
        <v>50</v>
      </c>
      <c r="B6" s="10">
        <f>'6º ao 9º EFAF'!C5</f>
        <v>33</v>
      </c>
      <c r="C6" s="10">
        <f>'6º ao 9º EFAF'!B5</f>
        <v>38</v>
      </c>
      <c r="D6" s="11">
        <f t="shared" si="3"/>
        <v>0.8684210526</v>
      </c>
      <c r="E6" s="12" t="s">
        <v>75</v>
      </c>
      <c r="F6" s="13">
        <f>IF(AND(ISNUMBER(B6), B6&gt;0, ISNUMBER('6º ao 9º EFAF'!G5)), ('6º ao 9º EFAF'!G5/(B6*3)), 0)</f>
        <v>0.4848484848</v>
      </c>
      <c r="G6" s="12" t="s">
        <v>75</v>
      </c>
      <c r="H6" s="12" t="s">
        <v>75</v>
      </c>
      <c r="I6" s="12" t="s">
        <v>75</v>
      </c>
      <c r="J6" s="13">
        <f>IF(AND(ISNUMBER(B6), B6&gt;0, ISNUMBER('6º ao 9º EFAF'!I5)), ('6º ao 9º EFAF'!I5/(B6*3)), 0)</f>
        <v>0.3737373737</v>
      </c>
      <c r="K6" s="13">
        <f>IF(AND(ISNUMBER(B6), B6&gt;0, ISNUMBER('6º ao 9º EFAF'!H5)), ('6º ao 9º EFAF'!H5/(B6*3)), 0)</f>
        <v>0.2828282828</v>
      </c>
      <c r="L6" s="13">
        <f>IF(AND(ISNUMBER(B6), B6&gt;0, ISNUMBER('6º ao 9º EFAF'!F5)), ('6º ao 9º EFAF'!F5/(B6*3)), 0)</f>
        <v>0.6060606061</v>
      </c>
      <c r="M6" s="13">
        <f>IF(AND(ISNUMBER(B6), B6&gt;0, ISNUMBER('6º ao 9º EFAF'!D5)), ('6º ao 9º EFAF'!D5/(B6*4)), 0)</f>
        <v>0.6818181818</v>
      </c>
      <c r="N6" s="13">
        <f>IF(AND(ISNUMBER(B6), B6&gt;0, ISNUMBER('6º ao 9º EFAF'!E5)), ('6º ao 9º EFAF'!E5/(B6*4)), 0)</f>
        <v>0.4166666667</v>
      </c>
      <c r="O6" s="12" t="s">
        <v>75</v>
      </c>
      <c r="P6" s="14">
        <f t="shared" si="4"/>
        <v>0.4743265993</v>
      </c>
    </row>
    <row r="7" ht="21.75" customHeight="1">
      <c r="A7" s="9" t="s">
        <v>52</v>
      </c>
      <c r="B7" s="10">
        <f>'6º ao 9º EFAF'!C6</f>
        <v>26</v>
      </c>
      <c r="C7" s="10">
        <f>'6º ao 9º EFAF'!B6</f>
        <v>32</v>
      </c>
      <c r="D7" s="11">
        <f t="shared" si="3"/>
        <v>0.8125</v>
      </c>
      <c r="E7" s="12" t="s">
        <v>75</v>
      </c>
      <c r="F7" s="13">
        <f>IF(AND(ISNUMBER(B7), B7&gt;0, ISNUMBER('6º ao 9º EFAF'!G6)), ('6º ao 9º EFAF'!G6/(B7*3)), 0)</f>
        <v>0.6282051282</v>
      </c>
      <c r="G7" s="12" t="s">
        <v>75</v>
      </c>
      <c r="H7" s="12" t="s">
        <v>75</v>
      </c>
      <c r="I7" s="12" t="s">
        <v>75</v>
      </c>
      <c r="J7" s="13">
        <f>IF(AND(ISNUMBER(B7), B7&gt;0, ISNUMBER('6º ao 9º EFAF'!I6)), ('6º ao 9º EFAF'!I6/(B7*3)), 0)</f>
        <v>0.6282051282</v>
      </c>
      <c r="K7" s="13">
        <f>IF(AND(ISNUMBER(B7), B7&gt;0, ISNUMBER('6º ao 9º EFAF'!H6)), ('6º ao 9º EFAF'!H6/(B7*3)), 0)</f>
        <v>0.4743589744</v>
      </c>
      <c r="L7" s="13">
        <f>IF(AND(ISNUMBER(B7), B7&gt;0, ISNUMBER('6º ao 9º EFAF'!F6)), ('6º ao 9º EFAF'!F6/(B7*3)), 0)</f>
        <v>0.6282051282</v>
      </c>
      <c r="M7" s="13">
        <f>IF(AND(ISNUMBER(B7), B7&gt;0, ISNUMBER('6º ao 9º EFAF'!D6)), ('6º ao 9º EFAF'!D6/(B7*4)), 0)</f>
        <v>0.6057692308</v>
      </c>
      <c r="N7" s="13">
        <f>IF(AND(ISNUMBER(B7), B7&gt;0, ISNUMBER('6º ao 9º EFAF'!E6)), ('6º ao 9º EFAF'!E6/(B7*4)), 0)</f>
        <v>0.4326923077</v>
      </c>
      <c r="O7" s="12" t="s">
        <v>75</v>
      </c>
      <c r="P7" s="14">
        <f t="shared" si="4"/>
        <v>0.5662393162</v>
      </c>
    </row>
    <row r="8" ht="21.75" customHeight="1">
      <c r="A8" s="9" t="s">
        <v>57</v>
      </c>
      <c r="B8" s="10">
        <f>'6º ao 9º EFAF'!C7</f>
        <v>29</v>
      </c>
      <c r="C8" s="10">
        <f>'6º ao 9º EFAF'!B7</f>
        <v>33</v>
      </c>
      <c r="D8" s="11">
        <f t="shared" si="3"/>
        <v>0.8787878788</v>
      </c>
      <c r="E8" s="12" t="s">
        <v>75</v>
      </c>
      <c r="F8" s="13">
        <f>IF(AND(ISNUMBER(B8), B8&gt;0, ISNUMBER('6º ao 9º EFAF'!G7)), ('6º ao 9º EFAF'!G7/(B8*3)), 0)</f>
        <v>0.5287356322</v>
      </c>
      <c r="G8" s="12" t="s">
        <v>75</v>
      </c>
      <c r="H8" s="12" t="s">
        <v>75</v>
      </c>
      <c r="I8" s="12" t="s">
        <v>75</v>
      </c>
      <c r="J8" s="13">
        <f>IF(AND(ISNUMBER(B8), B8&gt;0, ISNUMBER('6º ao 9º EFAF'!I7)), ('6º ao 9º EFAF'!I7/(B8*3)), 0)</f>
        <v>0.4712643678</v>
      </c>
      <c r="K8" s="13">
        <f>IF(AND(ISNUMBER(B8), B8&gt;0, ISNUMBER('6º ao 9º EFAF'!H7)), ('6º ao 9º EFAF'!H7/(B8*3)), 0)</f>
        <v>0.4942528736</v>
      </c>
      <c r="L8" s="13">
        <f>IF(AND(ISNUMBER(B8), B8&gt;0, ISNUMBER('6º ao 9º EFAF'!F7)), ('6º ao 9º EFAF'!F7/(B8*3)), 0)</f>
        <v>0.4827586207</v>
      </c>
      <c r="M8" s="13">
        <f>IF(AND(ISNUMBER(B8), B8&gt;0, ISNUMBER('6º ao 9º EFAF'!D7)), ('6º ao 9º EFAF'!D7/(B8*4)), 0)</f>
        <v>0.5517241379</v>
      </c>
      <c r="N8" s="13">
        <f>IF(AND(ISNUMBER(B8), B8&gt;0, ISNUMBER('6º ao 9º EFAF'!E7)), ('6º ao 9º EFAF'!E7/(B8*4)), 0)</f>
        <v>0.3620689655</v>
      </c>
      <c r="O8" s="12" t="s">
        <v>75</v>
      </c>
      <c r="P8" s="14">
        <f t="shared" si="4"/>
        <v>0.4818007663</v>
      </c>
    </row>
    <row r="9" ht="21.75" customHeight="1">
      <c r="A9" s="9" t="s">
        <v>58</v>
      </c>
      <c r="B9" s="10">
        <f>'6º ao 9º EFAF'!C8</f>
        <v>29</v>
      </c>
      <c r="C9" s="10">
        <f>'6º ao 9º EFAF'!B8</f>
        <v>33</v>
      </c>
      <c r="D9" s="11">
        <f t="shared" si="3"/>
        <v>0.8787878788</v>
      </c>
      <c r="E9" s="12" t="s">
        <v>75</v>
      </c>
      <c r="F9" s="13">
        <f>IF(AND(ISNUMBER(B9), B9&gt;0, ISNUMBER('6º ao 9º EFAF'!G8)), ('6º ao 9º EFAF'!G8/(B9*3)), 0)</f>
        <v>0.5632183908</v>
      </c>
      <c r="G9" s="12" t="s">
        <v>75</v>
      </c>
      <c r="H9" s="12" t="s">
        <v>75</v>
      </c>
      <c r="I9" s="12" t="s">
        <v>75</v>
      </c>
      <c r="J9" s="13">
        <f>IF(AND(ISNUMBER(B9), B9&gt;0, ISNUMBER('6º ao 9º EFAF'!I8)), ('6º ao 9º EFAF'!I8/(B9*3)), 0)</f>
        <v>0.5632183908</v>
      </c>
      <c r="K9" s="13">
        <f>IF(AND(ISNUMBER(B9), B9&gt;0, ISNUMBER('6º ao 9º EFAF'!H8)), ('6º ao 9º EFAF'!H8/(B9*3)), 0)</f>
        <v>0.4252873563</v>
      </c>
      <c r="L9" s="13">
        <f>IF(AND(ISNUMBER(B9), B9&gt;0, ISNUMBER('6º ao 9º EFAF'!F8)), ('6º ao 9º EFAF'!F8/(B9*3)), 0)</f>
        <v>0.5632183908</v>
      </c>
      <c r="M9" s="13">
        <f>IF(AND(ISNUMBER(B9), B9&gt;0, ISNUMBER('6º ao 9º EFAF'!D8)), ('6º ao 9º EFAF'!D8/(B9*4)), 0)</f>
        <v>0.5086206897</v>
      </c>
      <c r="N9" s="13">
        <f>IF(AND(ISNUMBER(B9), B9&gt;0, ISNUMBER('6º ao 9º EFAF'!E8)), ('6º ao 9º EFAF'!E8/(B9*4)), 0)</f>
        <v>0.3534482759</v>
      </c>
      <c r="O9" s="12" t="s">
        <v>75</v>
      </c>
      <c r="P9" s="14">
        <f t="shared" si="4"/>
        <v>0.4961685824</v>
      </c>
    </row>
    <row r="10" ht="21.75" customHeight="1">
      <c r="A10" s="9" t="s">
        <v>60</v>
      </c>
      <c r="B10" s="10">
        <f>'6º ao 9º EFAF'!C9</f>
        <v>31</v>
      </c>
      <c r="C10" s="10">
        <f>'6º ao 9º EFAF'!B9</f>
        <v>35</v>
      </c>
      <c r="D10" s="11">
        <f t="shared" si="3"/>
        <v>0.8857142857</v>
      </c>
      <c r="E10" s="12" t="s">
        <v>75</v>
      </c>
      <c r="F10" s="13">
        <f>IF(AND(ISNUMBER(B10), B10&gt;0, ISNUMBER('6º ao 9º EFAF'!G9)), ('6º ao 9º EFAF'!G9/(B10*3)), 0)</f>
        <v>0.5806451613</v>
      </c>
      <c r="G10" s="12" t="s">
        <v>75</v>
      </c>
      <c r="H10" s="12" t="s">
        <v>75</v>
      </c>
      <c r="I10" s="12" t="s">
        <v>75</v>
      </c>
      <c r="J10" s="13">
        <f>IF(AND(ISNUMBER(B10), B10&gt;0, ISNUMBER('6º ao 9º EFAF'!I9)), ('6º ao 9º EFAF'!I9/(B10*3)), 0)</f>
        <v>0.5268817204</v>
      </c>
      <c r="K10" s="13">
        <f>IF(AND(ISNUMBER(B10), B10&gt;0, ISNUMBER('6º ao 9º EFAF'!H9)), ('6º ao 9º EFAF'!H9/(B10*3)), 0)</f>
        <v>0.3548387097</v>
      </c>
      <c r="L10" s="13">
        <f>IF(AND(ISNUMBER(B10), B10&gt;0, ISNUMBER('6º ao 9º EFAF'!F9)), ('6º ao 9º EFAF'!F9/(B10*3)), 0)</f>
        <v>0.5806451613</v>
      </c>
      <c r="M10" s="13">
        <f>IF(AND(ISNUMBER(B10), B10&gt;0, ISNUMBER('6º ao 9º EFAF'!D9)), ('6º ao 9º EFAF'!D9/(B10*4)), 0)</f>
        <v>0.5080645161</v>
      </c>
      <c r="N10" s="13">
        <f>IF(AND(ISNUMBER(B10), B10&gt;0, ISNUMBER('6º ao 9º EFAF'!E9)), ('6º ao 9º EFAF'!E9/(B10*4)), 0)</f>
        <v>0.3467741935</v>
      </c>
      <c r="O10" s="12" t="s">
        <v>75</v>
      </c>
      <c r="P10" s="14">
        <f t="shared" si="4"/>
        <v>0.4829749104</v>
      </c>
    </row>
    <row r="11" ht="21.75" customHeight="1">
      <c r="A11" s="9" t="s">
        <v>61</v>
      </c>
      <c r="B11" s="10">
        <f>'6º ao 9º EFAF'!C10</f>
        <v>32</v>
      </c>
      <c r="C11" s="10">
        <f>'6º ao 9º EFAF'!B10</f>
        <v>35</v>
      </c>
      <c r="D11" s="11">
        <f t="shared" si="3"/>
        <v>0.9142857143</v>
      </c>
      <c r="E11" s="12" t="s">
        <v>75</v>
      </c>
      <c r="F11" s="13">
        <f>IF(AND(ISNUMBER(B11), B11&gt;0, ISNUMBER('6º ao 9º EFAF'!G10)), ('6º ao 9º EFAF'!G10/(B11*3)), 0)</f>
        <v>0.5416666667</v>
      </c>
      <c r="G11" s="12" t="s">
        <v>75</v>
      </c>
      <c r="H11" s="12" t="s">
        <v>75</v>
      </c>
      <c r="I11" s="12" t="s">
        <v>75</v>
      </c>
      <c r="J11" s="13">
        <f>IF(AND(ISNUMBER(B11), B11&gt;0, ISNUMBER('6º ao 9º EFAF'!I10)), ('6º ao 9º EFAF'!I10/(B11*3)), 0)</f>
        <v>0.40625</v>
      </c>
      <c r="K11" s="13">
        <f>IF(AND(ISNUMBER(B11), B11&gt;0, ISNUMBER('6º ao 9º EFAF'!H10)), ('6º ao 9º EFAF'!H10/(B11*3)), 0)</f>
        <v>0.46875</v>
      </c>
      <c r="L11" s="13">
        <f>IF(AND(ISNUMBER(B11), B11&gt;0, ISNUMBER('6º ao 9º EFAF'!F10)), ('6º ao 9º EFAF'!F10/(B11*3)), 0)</f>
        <v>0.6145833333</v>
      </c>
      <c r="M11" s="13">
        <f>IF(AND(ISNUMBER(B11), B11&gt;0, ISNUMBER('6º ao 9º EFAF'!D10)), ('6º ao 9º EFAF'!D10/(B11*4)), 0)</f>
        <v>0.734375</v>
      </c>
      <c r="N11" s="13">
        <f>IF(AND(ISNUMBER(B11), B11&gt;0, ISNUMBER('6º ao 9º EFAF'!E10)), ('6º ao 9º EFAF'!E10/(B11*4)), 0)</f>
        <v>0.4609375</v>
      </c>
      <c r="O11" s="12" t="s">
        <v>75</v>
      </c>
      <c r="P11" s="14">
        <f t="shared" si="4"/>
        <v>0.5377604167</v>
      </c>
    </row>
    <row r="12" ht="21.75" customHeight="1">
      <c r="A12" s="9" t="s">
        <v>63</v>
      </c>
      <c r="B12" s="10">
        <f>'6º ao 9º EFAF'!C11</f>
        <v>31</v>
      </c>
      <c r="C12" s="10">
        <f>'6º ao 9º EFAF'!B11</f>
        <v>35</v>
      </c>
      <c r="D12" s="11">
        <f t="shared" si="3"/>
        <v>0.8857142857</v>
      </c>
      <c r="E12" s="12" t="s">
        <v>75</v>
      </c>
      <c r="F12" s="13">
        <f>IF(AND(ISNUMBER(B12), B12&gt;0, ISNUMBER('6º ao 9º EFAF'!G11)), ('6º ao 9º EFAF'!G11/(B12*3)), 0)</f>
        <v>0.6129032258</v>
      </c>
      <c r="G12" s="12" t="s">
        <v>75</v>
      </c>
      <c r="H12" s="12" t="s">
        <v>75</v>
      </c>
      <c r="I12" s="12" t="s">
        <v>75</v>
      </c>
      <c r="J12" s="13">
        <f>IF(AND(ISNUMBER(B12), B12&gt;0, ISNUMBER('6º ao 9º EFAF'!I11)), ('6º ao 9º EFAF'!I11/(B12*3)), 0)</f>
        <v>0.4731182796</v>
      </c>
      <c r="K12" s="13">
        <f>IF(AND(ISNUMBER(B12), B12&gt;0, ISNUMBER('6º ao 9º EFAF'!H11)), ('6º ao 9º EFAF'!H11/(B12*3)), 0)</f>
        <v>0.5806451613</v>
      </c>
      <c r="L12" s="13">
        <f>IF(AND(ISNUMBER(B12), B12&gt;0, ISNUMBER('6º ao 9º EFAF'!F11)), ('6º ao 9º EFAF'!F11/(B12*3)), 0)</f>
        <v>0.5698924731</v>
      </c>
      <c r="M12" s="13">
        <f>IF(AND(ISNUMBER(B12), B12&gt;0, ISNUMBER('6º ao 9º EFAF'!D11)), ('6º ao 9º EFAF'!D11/(B12*4)), 0)</f>
        <v>0.5241935484</v>
      </c>
      <c r="N12" s="13">
        <f>IF(AND(ISNUMBER(B12), B12&gt;0, ISNUMBER('6º ao 9º EFAF'!E11)), ('6º ao 9º EFAF'!E11/(B12*4)), 0)</f>
        <v>0.5403225806</v>
      </c>
      <c r="O12" s="12" t="s">
        <v>75</v>
      </c>
      <c r="P12" s="14">
        <f t="shared" si="4"/>
        <v>0.5501792115</v>
      </c>
    </row>
    <row r="13" ht="21.75" customHeight="1">
      <c r="A13" s="9" t="s">
        <v>65</v>
      </c>
      <c r="B13" s="10">
        <f>'6º ao 9º EFAF'!C12</f>
        <v>25</v>
      </c>
      <c r="C13" s="10">
        <f>'6º ao 9º EFAF'!B12</f>
        <v>30</v>
      </c>
      <c r="D13" s="11">
        <f t="shared" si="3"/>
        <v>0.8333333333</v>
      </c>
      <c r="E13" s="12" t="s">
        <v>75</v>
      </c>
      <c r="F13" s="13">
        <f>IF(AND(ISNUMBER(B13), B13&gt;0, ISNUMBER('6º ao 9º EFAF'!G12)), ('6º ao 9º EFAF'!G12/(B13*3)), 0)</f>
        <v>0.72</v>
      </c>
      <c r="G13" s="12" t="s">
        <v>75</v>
      </c>
      <c r="H13" s="12" t="s">
        <v>75</v>
      </c>
      <c r="I13" s="12" t="s">
        <v>75</v>
      </c>
      <c r="J13" s="13">
        <f>IF(AND(ISNUMBER(B13), B13&gt;0, ISNUMBER('6º ao 9º EFAF'!I12)), ('6º ao 9º EFAF'!I12/(B13*3)), 0)</f>
        <v>0.28</v>
      </c>
      <c r="K13" s="13">
        <f>IF(AND(ISNUMBER(B13), B13&gt;0, ISNUMBER('6º ao 9º EFAF'!H12)), ('6º ao 9º EFAF'!H12/(B13*3)), 0)</f>
        <v>0.5866666667</v>
      </c>
      <c r="L13" s="13">
        <f>IF(AND(ISNUMBER(B13), B13&gt;0, ISNUMBER('6º ao 9º EFAF'!F12)), ('6º ao 9º EFAF'!F12/(B13*3)), 0)</f>
        <v>0.6666666667</v>
      </c>
      <c r="M13" s="13">
        <f>IF(AND(ISNUMBER(B13), B13&gt;0, ISNUMBER('6º ao 9º EFAF'!D12)), ('6º ao 9º EFAF'!D12/(B13*4)), 0)</f>
        <v>0.7</v>
      </c>
      <c r="N13" s="13">
        <f>IF(AND(ISNUMBER(B13), B13&gt;0, ISNUMBER('6º ao 9º EFAF'!E12)), ('6º ao 9º EFAF'!E12/(B13*4)), 0)</f>
        <v>0.43</v>
      </c>
      <c r="O13" s="12" t="s">
        <v>75</v>
      </c>
      <c r="P13" s="14">
        <f t="shared" si="4"/>
        <v>0.5638888889</v>
      </c>
    </row>
    <row r="14" ht="21.75" customHeight="1">
      <c r="A14" s="9" t="s">
        <v>66</v>
      </c>
      <c r="B14" s="10">
        <f>'6º ao 9º EFAF'!C13</f>
        <v>28</v>
      </c>
      <c r="C14" s="10">
        <f>'6º ao 9º EFAF'!B13</f>
        <v>32</v>
      </c>
      <c r="D14" s="11">
        <f t="shared" si="3"/>
        <v>0.875</v>
      </c>
      <c r="E14" s="12" t="s">
        <v>75</v>
      </c>
      <c r="F14" s="13">
        <f>IF(AND(ISNUMBER(B14), B14&gt;0, ISNUMBER('6º ao 9º EFAF'!G13)), ('6º ao 9º EFAF'!G13/(B14*3)), 0)</f>
        <v>0.4880952381</v>
      </c>
      <c r="G14" s="12" t="s">
        <v>75</v>
      </c>
      <c r="H14" s="12" t="s">
        <v>75</v>
      </c>
      <c r="I14" s="12" t="s">
        <v>75</v>
      </c>
      <c r="J14" s="13">
        <f>IF(AND(ISNUMBER(B14), B14&gt;0, ISNUMBER('6º ao 9º EFAF'!I13)), ('6º ao 9º EFAF'!I13/(B14*3)), 0)</f>
        <v>0.3928571429</v>
      </c>
      <c r="K14" s="13">
        <f>IF(AND(ISNUMBER(B14), B14&gt;0, ISNUMBER('6º ao 9º EFAF'!H13)), ('6º ao 9º EFAF'!H13/(B14*3)), 0)</f>
        <v>0.4166666667</v>
      </c>
      <c r="L14" s="13">
        <f>IF(AND(ISNUMBER(B14), B14&gt;0, ISNUMBER('6º ao 9º EFAF'!F13)), ('6º ao 9º EFAF'!F13/(B14*3)), 0)</f>
        <v>0.4880952381</v>
      </c>
      <c r="M14" s="13">
        <f>IF(AND(ISNUMBER(B14), B14&gt;0, ISNUMBER('6º ao 9º EFAF'!D13)), ('6º ao 9º EFAF'!D13/(B14*4)), 0)</f>
        <v>0.5267857143</v>
      </c>
      <c r="N14" s="13">
        <f>IF(AND(ISNUMBER(B14), B14&gt;0, ISNUMBER('6º ao 9º EFAF'!E13)), ('6º ao 9º EFAF'!E13/(B14*4)), 0)</f>
        <v>0.2589285714</v>
      </c>
      <c r="O14" s="12" t="s">
        <v>75</v>
      </c>
      <c r="P14" s="14">
        <f t="shared" si="4"/>
        <v>0.4285714286</v>
      </c>
    </row>
    <row r="15" ht="21.75" customHeight="1">
      <c r="A15" s="9" t="s">
        <v>68</v>
      </c>
      <c r="B15" s="10">
        <f>'6º ao 9º EFAF'!C14</f>
        <v>25</v>
      </c>
      <c r="C15" s="10">
        <f>'6º ao 9º EFAF'!B14</f>
        <v>28</v>
      </c>
      <c r="D15" s="11">
        <f t="shared" si="3"/>
        <v>0.8928571429</v>
      </c>
      <c r="E15" s="12" t="s">
        <v>75</v>
      </c>
      <c r="F15" s="13">
        <f>IF(AND(ISNUMBER(B15), B15&gt;0, ISNUMBER('6º ao 9º EFAF'!G14)), ('6º ao 9º EFAF'!G14/(B15*3)), 0)</f>
        <v>0.6266666667</v>
      </c>
      <c r="G15" s="12" t="s">
        <v>75</v>
      </c>
      <c r="H15" s="12" t="s">
        <v>75</v>
      </c>
      <c r="I15" s="12" t="s">
        <v>75</v>
      </c>
      <c r="J15" s="13">
        <f>IF(AND(ISNUMBER(B15), B15&gt;0, ISNUMBER('6º ao 9º EFAF'!I14)), ('6º ao 9º EFAF'!I14/(B15*3)), 0)</f>
        <v>0.3333333333</v>
      </c>
      <c r="K15" s="13">
        <f>IF(AND(ISNUMBER(B15), B15&gt;0, ISNUMBER('6º ao 9º EFAF'!H14)), ('6º ao 9º EFAF'!H14/(B15*3)), 0)</f>
        <v>0.5866666667</v>
      </c>
      <c r="L15" s="13">
        <f>IF(AND(ISNUMBER(B15), B15&gt;0, ISNUMBER('6º ao 9º EFAF'!F14)), ('6º ao 9º EFAF'!F14/(B15*3)), 0)</f>
        <v>0.64</v>
      </c>
      <c r="M15" s="13">
        <f>IF(AND(ISNUMBER(B15), B15&gt;0, ISNUMBER('6º ao 9º EFAF'!D14)), ('6º ao 9º EFAF'!D14/(B15*4)), 0)</f>
        <v>0.76</v>
      </c>
      <c r="N15" s="13">
        <f>IF(AND(ISNUMBER(B15), B15&gt;0, ISNUMBER('6º ao 9º EFAF'!E14)), ('6º ao 9º EFAF'!E14/(B15*4)), 0)</f>
        <v>0.3</v>
      </c>
      <c r="O15" s="12" t="s">
        <v>75</v>
      </c>
      <c r="P15" s="14">
        <f t="shared" si="4"/>
        <v>0.5411111111</v>
      </c>
    </row>
    <row r="16" ht="21.75" customHeight="1">
      <c r="A16" s="9" t="s">
        <v>69</v>
      </c>
      <c r="B16" s="10">
        <f>'6º ao 9º EFAF'!C15</f>
        <v>33</v>
      </c>
      <c r="C16" s="10">
        <f>'6º ao 9º EFAF'!B15</f>
        <v>37</v>
      </c>
      <c r="D16" s="11">
        <f t="shared" si="3"/>
        <v>0.8918918919</v>
      </c>
      <c r="E16" s="12" t="s">
        <v>75</v>
      </c>
      <c r="F16" s="13">
        <f>IF(AND(ISNUMBER(B16), B16&gt;0, ISNUMBER('6º ao 9º EFAF'!G15)), ('6º ao 9º EFAF'!G15/(B16*3)), 0)</f>
        <v>0.5757575758</v>
      </c>
      <c r="G16" s="12" t="s">
        <v>75</v>
      </c>
      <c r="H16" s="12" t="s">
        <v>75</v>
      </c>
      <c r="I16" s="12" t="s">
        <v>75</v>
      </c>
      <c r="J16" s="13">
        <f>IF(AND(ISNUMBER(B16), B16&gt;0, ISNUMBER('6º ao 9º EFAF'!I15)), ('6º ao 9º EFAF'!I15/(B16*3)), 0)</f>
        <v>0.3838383838</v>
      </c>
      <c r="K16" s="13">
        <f>IF(AND(ISNUMBER(B16), B16&gt;0, ISNUMBER('6º ao 9º EFAF'!H15)), ('6º ao 9º EFAF'!H15/(B16*3)), 0)</f>
        <v>0.303030303</v>
      </c>
      <c r="L16" s="13">
        <f>IF(AND(ISNUMBER(B16), B16&gt;0, ISNUMBER('6º ao 9º EFAF'!F15)), ('6º ao 9º EFAF'!F15/(B16*3)), 0)</f>
        <v>0.6060606061</v>
      </c>
      <c r="M16" s="13">
        <f>IF(AND(ISNUMBER(B16), B16&gt;0, ISNUMBER('6º ao 9º EFAF'!D15)), ('6º ao 9º EFAF'!D15/(B16*4)), 0)</f>
        <v>0.5833333333</v>
      </c>
      <c r="N16" s="13">
        <f>IF(AND(ISNUMBER(B16), B16&gt;0, ISNUMBER('6º ao 9º EFAF'!E15)), ('6º ao 9º EFAF'!E15/(B16*4)), 0)</f>
        <v>0.2954545455</v>
      </c>
      <c r="O16" s="12" t="s">
        <v>75</v>
      </c>
      <c r="P16" s="14">
        <f t="shared" si="4"/>
        <v>0.4579124579</v>
      </c>
    </row>
    <row r="17" ht="21.75" customHeight="1">
      <c r="A17" s="9" t="s">
        <v>71</v>
      </c>
      <c r="B17" s="10">
        <f>'6º ao 9º EFAF'!C16</f>
        <v>29</v>
      </c>
      <c r="C17" s="10">
        <f>'6º ao 9º EFAF'!B16</f>
        <v>35</v>
      </c>
      <c r="D17" s="11">
        <f t="shared" si="3"/>
        <v>0.8285714286</v>
      </c>
      <c r="E17" s="12" t="s">
        <v>75</v>
      </c>
      <c r="F17" s="13">
        <f>IF(AND(ISNUMBER(B17), B17&gt;0, ISNUMBER('6º ao 9º EFAF'!G16)), ('6º ao 9º EFAF'!G16/(B17*3)), 0)</f>
        <v>0.5747126437</v>
      </c>
      <c r="G17" s="12" t="s">
        <v>75</v>
      </c>
      <c r="H17" s="12" t="s">
        <v>75</v>
      </c>
      <c r="I17" s="12" t="s">
        <v>75</v>
      </c>
      <c r="J17" s="13">
        <f>IF(AND(ISNUMBER(B17), B17&gt;0, ISNUMBER('6º ao 9º EFAF'!I16)), ('6º ao 9º EFAF'!I16/(B17*3)), 0)</f>
        <v>0.4367816092</v>
      </c>
      <c r="K17" s="13">
        <f>IF(AND(ISNUMBER(B17), B17&gt;0, ISNUMBER('6º ao 9º EFAF'!H16)), ('6º ao 9º EFAF'!H16/(B17*3)), 0)</f>
        <v>0.2528735632</v>
      </c>
      <c r="L17" s="13">
        <f>IF(AND(ISNUMBER(B17), B17&gt;0, ISNUMBER('6º ao 9º EFAF'!F16)), ('6º ao 9º EFAF'!F16/(B17*3)), 0)</f>
        <v>0.4367816092</v>
      </c>
      <c r="M17" s="13">
        <f>IF(AND(ISNUMBER(B17), B17&gt;0, ISNUMBER('6º ao 9º EFAF'!D16)), ('6º ao 9º EFAF'!D16/(B17*4)), 0)</f>
        <v>0.5517241379</v>
      </c>
      <c r="N17" s="13">
        <f>IF(AND(ISNUMBER(B17), B17&gt;0, ISNUMBER('6º ao 9º EFAF'!E16)), ('6º ao 9º EFAF'!E16/(B17*4)), 0)</f>
        <v>0.2327586207</v>
      </c>
      <c r="O17" s="12" t="s">
        <v>75</v>
      </c>
      <c r="P17" s="14">
        <f t="shared" si="4"/>
        <v>0.4142720307</v>
      </c>
    </row>
    <row r="18" ht="21.75" customHeight="1">
      <c r="A18" s="9" t="s">
        <v>72</v>
      </c>
      <c r="B18" s="10">
        <f>'6º ao 9º EFAF'!C17</f>
        <v>31</v>
      </c>
      <c r="C18" s="10">
        <f>'6º ao 9º EFAF'!B17</f>
        <v>38</v>
      </c>
      <c r="D18" s="11">
        <f t="shared" si="3"/>
        <v>0.8157894737</v>
      </c>
      <c r="E18" s="12" t="s">
        <v>75</v>
      </c>
      <c r="F18" s="13">
        <f>IF(AND(ISNUMBER(B18), B18&gt;0, ISNUMBER('6º ao 9º EFAF'!G17)), ('6º ao 9º EFAF'!G17/(B18*3)), 0)</f>
        <v>0.5483870968</v>
      </c>
      <c r="G18" s="12" t="s">
        <v>75</v>
      </c>
      <c r="H18" s="12" t="s">
        <v>75</v>
      </c>
      <c r="I18" s="12" t="s">
        <v>75</v>
      </c>
      <c r="J18" s="13">
        <f>IF(AND(ISNUMBER(B18), B18&gt;0, ISNUMBER('6º ao 9º EFAF'!I17)), ('6º ao 9º EFAF'!I17/(B18*3)), 0)</f>
        <v>0.3440860215</v>
      </c>
      <c r="K18" s="13">
        <f>IF(AND(ISNUMBER(B18), B18&gt;0, ISNUMBER('6º ao 9º EFAF'!H17)), ('6º ao 9º EFAF'!H17/(B18*3)), 0)</f>
        <v>0.2580645161</v>
      </c>
      <c r="L18" s="13">
        <f>IF(AND(ISNUMBER(B18), B18&gt;0, ISNUMBER('6º ao 9º EFAF'!F17)), ('6º ao 9º EFAF'!F17/(B18*3)), 0)</f>
        <v>0.4516129032</v>
      </c>
      <c r="M18" s="13">
        <f>IF(AND(ISNUMBER(B18), B18&gt;0, ISNUMBER('6º ao 9º EFAF'!D17)), ('6º ao 9º EFAF'!D17/(B18*4)), 0)</f>
        <v>0.5241935484</v>
      </c>
      <c r="N18" s="13">
        <f>IF(AND(ISNUMBER(B18), B18&gt;0, ISNUMBER('6º ao 9º EFAF'!E17)), ('6º ao 9º EFAF'!E17/(B18*4)), 0)</f>
        <v>0.2983870968</v>
      </c>
      <c r="O18" s="12" t="s">
        <v>75</v>
      </c>
      <c r="P18" s="14">
        <f t="shared" si="4"/>
        <v>0.4041218638</v>
      </c>
    </row>
    <row r="19" ht="21.75" customHeight="1">
      <c r="A19" s="9" t="s">
        <v>34</v>
      </c>
      <c r="B19" s="10">
        <f>'1ª e 2ª EM'!C2</f>
        <v>25</v>
      </c>
      <c r="C19" s="10">
        <f>'1ª e 2ª EM'!B2</f>
        <v>32</v>
      </c>
      <c r="D19" s="11">
        <f t="shared" si="3"/>
        <v>0.78125</v>
      </c>
      <c r="E19" s="13">
        <f>IF(AND(ISNUMBER(B19), B19&gt;0, ISNUMBER('1ª e 2ª EM'!H2)), ('1ª e 2ª EM'!H2/(B19*2)), 0)</f>
        <v>0.28</v>
      </c>
      <c r="F19" s="12" t="s">
        <v>75</v>
      </c>
      <c r="G19" s="13">
        <f>IF(AND(ISNUMBER(B19), B19&gt;0, ISNUMBER('1ª e 2ª EM'!K2)), ('1ª e 2ª EM'!K2/(B19*2)), 0)</f>
        <v>0.34</v>
      </c>
      <c r="H19" s="12" t="s">
        <v>75</v>
      </c>
      <c r="I19" s="13">
        <f>IF(AND(ISNUMBER(B19), B19&gt;0, ISNUMBER('1ª e 2ª EM'!F2)), ('1ª e 2ª EM'!F2/(B19*2)), 0)</f>
        <v>0.28</v>
      </c>
      <c r="J19" s="13">
        <f>IF(AND(ISNUMBER(B19), B19&gt;0, ISNUMBER('1ª e 2ª EM'!J2)), ('1ª e 2ª EM'!J2/(B19*2)), 0)</f>
        <v>0.34</v>
      </c>
      <c r="K19" s="13">
        <f>IF(AND(ISNUMBER(B19), B19&gt;0, ISNUMBER('1ª e 2ª EM'!I2)), ('1ª e 2ª EM'!I2/(B19*2)), 0)</f>
        <v>0.4</v>
      </c>
      <c r="L19" s="13">
        <f>IF(AND(ISNUMBER(B19), B19&gt;0, ISNUMBER('1ª e 2ª EM'!L2)), ('1ª e 2ª EM'!L2/(B19*2)), 0)</f>
        <v>0.48</v>
      </c>
      <c r="M19" s="13">
        <f>IF(AND(ISNUMBER(B19), B19&gt;0, ISNUMBER('1ª e 2ª EM'!D2)), ('1ª e 2ª EM'!D2/(B19*4)), 0)</f>
        <v>0.48</v>
      </c>
      <c r="N19" s="13">
        <f>IF(AND(ISNUMBER(B19), B19&gt;0, ISNUMBER('1ª e 2ª EM'!E2)), ('1ª e 2ª EM'!E2/(B19*4)), 0)</f>
        <v>0.36</v>
      </c>
      <c r="O19" s="13">
        <f>IF(AND(ISNUMBER(B19), B19&gt;0, ISNUMBER('1ª e 2ª EM'!G2)), ('1ª e 2ª EM'!G2/(B19*2)), 0)</f>
        <v>0.2</v>
      </c>
      <c r="P19" s="14">
        <f t="shared" si="4"/>
        <v>0.3511111111</v>
      </c>
    </row>
    <row r="20" ht="21.75" customHeight="1">
      <c r="A20" s="9" t="s">
        <v>49</v>
      </c>
      <c r="B20" s="10">
        <f>'1ª e 2ª EM'!C3</f>
        <v>18</v>
      </c>
      <c r="C20" s="10">
        <f>'1ª e 2ª EM'!B3</f>
        <v>27</v>
      </c>
      <c r="D20" s="11">
        <f t="shared" si="3"/>
        <v>0.6666666667</v>
      </c>
      <c r="E20" s="13">
        <f>IF(AND(ISNUMBER(B20), B20&gt;0, ISNUMBER('1ª e 2ª EM'!H3)), ('1ª e 2ª EM'!H3/(B20*2)), 0)</f>
        <v>0.4444444444</v>
      </c>
      <c r="F20" s="12" t="s">
        <v>75</v>
      </c>
      <c r="G20" s="13">
        <f>IF(AND(ISNUMBER(B20), B20&gt;0, ISNUMBER('1ª e 2ª EM'!K3)), ('1ª e 2ª EM'!K3/(B20*2)), 0)</f>
        <v>0.3055555556</v>
      </c>
      <c r="H20" s="12" t="s">
        <v>75</v>
      </c>
      <c r="I20" s="13">
        <f>IF(AND(ISNUMBER(B20), B20&gt;0, ISNUMBER('1ª e 2ª EM'!F3)), ('1ª e 2ª EM'!F3/(B20*2)), 0)</f>
        <v>0.5277777778</v>
      </c>
      <c r="J20" s="13">
        <f>IF(AND(ISNUMBER(B20), B20&gt;0, ISNUMBER('1ª e 2ª EM'!J3)), ('1ª e 2ª EM'!J3/(B20*2)), 0)</f>
        <v>0.3333333333</v>
      </c>
      <c r="K20" s="13">
        <f>IF(AND(ISNUMBER(B20), B20&gt;0, ISNUMBER('1ª e 2ª EM'!I3)), ('1ª e 2ª EM'!I3/(B20*2)), 0)</f>
        <v>0.3611111111</v>
      </c>
      <c r="L20" s="13">
        <f>IF(AND(ISNUMBER(B20), B20&gt;0, ISNUMBER('1ª e 2ª EM'!L3)), ('1ª e 2ª EM'!L3/(B20*2)), 0)</f>
        <v>0.7222222222</v>
      </c>
      <c r="M20" s="13">
        <f>IF(AND(ISNUMBER(B20), B20&gt;0, ISNUMBER('1ª e 2ª EM'!D3)), ('1ª e 2ª EM'!D3/(B20*4)), 0)</f>
        <v>0.7361111111</v>
      </c>
      <c r="N20" s="13">
        <f>IF(AND(ISNUMBER(B20), B20&gt;0, ISNUMBER('1ª e 2ª EM'!E3)), ('1ª e 2ª EM'!E3/(B20*4)), 0)</f>
        <v>0.4722222222</v>
      </c>
      <c r="O20" s="13">
        <f>IF(AND(ISNUMBER(B20), B20&gt;0, ISNUMBER('1ª e 2ª EM'!G3)), ('1ª e 2ª EM'!G3/(B20*2)), 0)</f>
        <v>0.25</v>
      </c>
      <c r="P20" s="14">
        <f t="shared" si="4"/>
        <v>0.4614197531</v>
      </c>
    </row>
    <row r="21" ht="21.75" customHeight="1">
      <c r="A21" s="9" t="s">
        <v>54</v>
      </c>
      <c r="B21" s="10">
        <f>'1ª e 2ª EM'!C4</f>
        <v>22</v>
      </c>
      <c r="C21" s="10">
        <f>'1ª e 2ª EM'!B4</f>
        <v>27</v>
      </c>
      <c r="D21" s="11">
        <f t="shared" si="3"/>
        <v>0.8148148148</v>
      </c>
      <c r="E21" s="13">
        <f>IF(AND(ISNUMBER(B21), B21&gt;0, ISNUMBER('1ª e 2ª EM'!H4)), ('1ª e 2ª EM'!H4/(B21*2)), 0)</f>
        <v>0.3181818182</v>
      </c>
      <c r="F21" s="12" t="s">
        <v>75</v>
      </c>
      <c r="G21" s="13">
        <f>IF(AND(ISNUMBER(B21), B21&gt;0, ISNUMBER('1ª e 2ª EM'!K4)), ('1ª e 2ª EM'!K4/(B21*2)), 0)</f>
        <v>0.3409090909</v>
      </c>
      <c r="H21" s="12" t="s">
        <v>75</v>
      </c>
      <c r="I21" s="13">
        <f>IF(AND(ISNUMBER(B21), B21&gt;0, ISNUMBER('1ª e 2ª EM'!F4)), ('1ª e 2ª EM'!F4/(B21*2)), 0)</f>
        <v>0.3636363636</v>
      </c>
      <c r="J21" s="13">
        <f>IF(AND(ISNUMBER(B21), B21&gt;0, ISNUMBER('1ª e 2ª EM'!J4)), ('1ª e 2ª EM'!J4/(B21*2)), 0)</f>
        <v>0.2727272727</v>
      </c>
      <c r="K21" s="13">
        <f>IF(AND(ISNUMBER(B21), B21&gt;0, ISNUMBER('1ª e 2ª EM'!I4)), ('1ª e 2ª EM'!I4/(B21*2)), 0)</f>
        <v>0.2954545455</v>
      </c>
      <c r="L21" s="13">
        <f>IF(AND(ISNUMBER(B21), B21&gt;0, ISNUMBER('1ª e 2ª EM'!L4)), ('1ª e 2ª EM'!L4/(B21*2)), 0)</f>
        <v>0.4318181818</v>
      </c>
      <c r="M21" s="13">
        <f>IF(AND(ISNUMBER(B21), B21&gt;0, ISNUMBER('1ª e 2ª EM'!D4)), ('1ª e 2ª EM'!D4/(B21*4)), 0)</f>
        <v>0.5340909091</v>
      </c>
      <c r="N21" s="13">
        <f>IF(AND(ISNUMBER(B21), B21&gt;0, ISNUMBER('1ª e 2ª EM'!E4)), ('1ª e 2ª EM'!E4/(B21*4)), 0)</f>
        <v>0.3409090909</v>
      </c>
      <c r="O21" s="13">
        <f>IF(AND(ISNUMBER(B21), B21&gt;0, ISNUMBER('1ª e 2ª EM'!G4)), ('1ª e 2ª EM'!G4/(B21*2)), 0)</f>
        <v>0.3181818182</v>
      </c>
      <c r="P21" s="14">
        <f t="shared" si="4"/>
        <v>0.3573232323</v>
      </c>
    </row>
    <row r="22" ht="21.75" customHeight="1">
      <c r="A22" s="9" t="s">
        <v>56</v>
      </c>
      <c r="B22" s="10">
        <f>'1ª e 2ª EM'!C5</f>
        <v>22</v>
      </c>
      <c r="C22" s="10">
        <f>'1ª e 2ª EM'!B5</f>
        <v>28</v>
      </c>
      <c r="D22" s="11">
        <f t="shared" si="3"/>
        <v>0.7857142857</v>
      </c>
      <c r="E22" s="13">
        <f>IF(AND(ISNUMBER(B22), B22&gt;0, ISNUMBER('1ª e 2ª EM'!H5)), ('1ª e 2ª EM'!H5/(B22*2)), 0)</f>
        <v>0.4318181818</v>
      </c>
      <c r="F22" s="12" t="s">
        <v>75</v>
      </c>
      <c r="G22" s="13">
        <f>IF(AND(ISNUMBER(B22), B22&gt;0, ISNUMBER('1ª e 2ª EM'!K5)), ('1ª e 2ª EM'!K5/(B22*2)), 0)</f>
        <v>0.3181818182</v>
      </c>
      <c r="H22" s="12" t="s">
        <v>75</v>
      </c>
      <c r="I22" s="13">
        <f>IF(AND(ISNUMBER(B22), B22&gt;0, ISNUMBER('1ª e 2ª EM'!F5)), ('1ª e 2ª EM'!F5/(B22*2)), 0)</f>
        <v>0.2954545455</v>
      </c>
      <c r="J22" s="13">
        <f>IF(AND(ISNUMBER(B22), B22&gt;0, ISNUMBER('1ª e 2ª EM'!J5)), ('1ª e 2ª EM'!J5/(B22*2)), 0)</f>
        <v>0.3181818182</v>
      </c>
      <c r="K22" s="13">
        <f>IF(AND(ISNUMBER(B22), B22&gt;0, ISNUMBER('1ª e 2ª EM'!I5)), ('1ª e 2ª EM'!I5/(B22*2)), 0)</f>
        <v>0.4090909091</v>
      </c>
      <c r="L22" s="13">
        <f>IF(AND(ISNUMBER(B22), B22&gt;0, ISNUMBER('1ª e 2ª EM'!L5)), ('1ª e 2ª EM'!L5/(B22*2)), 0)</f>
        <v>0</v>
      </c>
      <c r="M22" s="13">
        <f>IF(AND(ISNUMBER(B22), B22&gt;0, ISNUMBER('1ª e 2ª EM'!D5)), ('1ª e 2ª EM'!D5/(B22*4)), 0)</f>
        <v>0.5681818182</v>
      </c>
      <c r="N22" s="13">
        <f>IF(AND(ISNUMBER(B22), B22&gt;0, ISNUMBER('1ª e 2ª EM'!E5)), ('1ª e 2ª EM'!E5/(B22*4)), 0)</f>
        <v>0.2954545455</v>
      </c>
      <c r="O22" s="13">
        <f>IF(AND(ISNUMBER(B22), B22&gt;0, ISNUMBER('1ª e 2ª EM'!G5)), ('1ª e 2ª EM'!G5/(B22*2)), 0)</f>
        <v>0.2954545455</v>
      </c>
      <c r="P22" s="14">
        <f t="shared" si="4"/>
        <v>0.3664772727</v>
      </c>
    </row>
    <row r="23" ht="21.75" customHeight="1">
      <c r="A23" s="9" t="s">
        <v>59</v>
      </c>
      <c r="B23" s="10">
        <f>'1ª e 2ª EM'!C6</f>
        <v>28</v>
      </c>
      <c r="C23" s="10">
        <f>'1ª e 2ª EM'!B6</f>
        <v>39</v>
      </c>
      <c r="D23" s="11">
        <f t="shared" si="3"/>
        <v>0.7179487179</v>
      </c>
      <c r="E23" s="13">
        <f>IF(AND(ISNUMBER(B23), B23&gt;0, ISNUMBER('1ª e 2ª EM'!H6)), ('1ª e 2ª EM'!H6/(B23*2)), 0)</f>
        <v>0.5892857143</v>
      </c>
      <c r="F23" s="12" t="s">
        <v>75</v>
      </c>
      <c r="G23" s="12" t="s">
        <v>75</v>
      </c>
      <c r="H23" s="13">
        <f>IF(AND(ISNUMBER(B23), B23&gt;0, ISNUMBER('1ª e 2ª EM'!K6)), ('1ª e 2ª EM'!K6/(B23*2)), 0)</f>
        <v>0.5714285714</v>
      </c>
      <c r="I23" s="13">
        <f>IF(AND(ISNUMBER(B23), B23&gt;0, ISNUMBER('1ª e 2ª EM'!F6)), ('1ª e 2ª EM'!F6/(B23*2)), 0)</f>
        <v>0.4642857143</v>
      </c>
      <c r="J23" s="13">
        <f>IF(AND(ISNUMBER(B23), B23&gt;0, ISNUMBER('1ª e 2ª EM'!J6)), ('1ª e 2ª EM'!J6/(B23*2)), 0)</f>
        <v>0.5</v>
      </c>
      <c r="K23" s="13">
        <f>IF(AND(ISNUMBER(B23), B23&gt;0, ISNUMBER('1ª e 2ª EM'!I6)), ('1ª e 2ª EM'!I6/(B23*2)), 0)</f>
        <v>0.625</v>
      </c>
      <c r="L23" s="13">
        <f>IF(AND(ISNUMBER(B23), B23&gt;0, ISNUMBER('1ª e 2ª EM'!L6)), ('1ª e 2ª EM'!L6/(B23*2)), 0)</f>
        <v>0.5892857143</v>
      </c>
      <c r="M23" s="13">
        <f>IF(AND(ISNUMBER(B23), B23&gt;0, ISNUMBER('1ª e 2ª EM'!D6)), ('1ª e 2ª EM'!D6/(B23*4)), 0)</f>
        <v>0.6517857143</v>
      </c>
      <c r="N23" s="13">
        <f>IF(AND(ISNUMBER(B23), B23&gt;0, ISNUMBER('1ª e 2ª EM'!E6)), ('1ª e 2ª EM'!E6/(B23*4)), 0)</f>
        <v>0.5892857143</v>
      </c>
      <c r="O23" s="13">
        <f>IF(AND(ISNUMBER(B23), B23&gt;0, ISNUMBER('1ª e 2ª EM'!G6)), ('1ª e 2ª EM'!G6/(B23*2)), 0)</f>
        <v>0.5</v>
      </c>
      <c r="P23" s="14">
        <f t="shared" si="4"/>
        <v>0.564484127</v>
      </c>
    </row>
    <row r="24" ht="21.75" customHeight="1">
      <c r="A24" s="9" t="s">
        <v>62</v>
      </c>
      <c r="B24" s="10">
        <f>'1ª e 2ª EM'!C7</f>
        <v>29</v>
      </c>
      <c r="C24" s="10">
        <f>'1ª e 2ª EM'!B7</f>
        <v>38</v>
      </c>
      <c r="D24" s="11">
        <f t="shared" si="3"/>
        <v>0.7631578947</v>
      </c>
      <c r="E24" s="13">
        <f>IF(AND(ISNUMBER(B24), B24&gt;0, ISNUMBER('1ª e 2ª EM'!H7)), ('1ª e 2ª EM'!H7/(B24*2)), 0)</f>
        <v>0.2586206897</v>
      </c>
      <c r="F24" s="12" t="s">
        <v>75</v>
      </c>
      <c r="G24" s="12" t="s">
        <v>75</v>
      </c>
      <c r="H24" s="13">
        <f>IF(AND(ISNUMBER(B24), B24&gt;0, ISNUMBER('1ª e 2ª EM'!K7)), ('1ª e 2ª EM'!K7/(B24*2)), 0)</f>
        <v>0.775862069</v>
      </c>
      <c r="I24" s="13">
        <f>IF(AND(ISNUMBER(B24), B24&gt;0, ISNUMBER('1ª e 2ª EM'!F7)), ('1ª e 2ª EM'!F7/(B24*2)), 0)</f>
        <v>0.775862069</v>
      </c>
      <c r="J24" s="13">
        <f>IF(AND(ISNUMBER(B24), B24&gt;0, ISNUMBER('1ª e 2ª EM'!J7)), ('1ª e 2ª EM'!J7/(B24*2)), 0)</f>
        <v>0.6034482759</v>
      </c>
      <c r="K24" s="13">
        <f>IF(AND(ISNUMBER(B24), B24&gt;0, ISNUMBER('1ª e 2ª EM'!I7)), ('1ª e 2ª EM'!I7/(B24*2)), 0)</f>
        <v>0.7413793103</v>
      </c>
      <c r="L24" s="13">
        <f>IF(AND(ISNUMBER(B24), B24&gt;0, ISNUMBER('1ª e 2ª EM'!L7)), ('1ª e 2ª EM'!L7/(B24*2)), 0)</f>
        <v>0.4310344828</v>
      </c>
      <c r="M24" s="13">
        <f>IF(AND(ISNUMBER(B24), B24&gt;0, ISNUMBER('1ª e 2ª EM'!D7)), ('1ª e 2ª EM'!D7/(B24*4)), 0)</f>
        <v>0.5862068966</v>
      </c>
      <c r="N24" s="13">
        <f>IF(AND(ISNUMBER(B24), B24&gt;0, ISNUMBER('1ª e 2ª EM'!E7)), ('1ª e 2ª EM'!E7/(B24*4)), 0)</f>
        <v>0.6293103448</v>
      </c>
      <c r="O24" s="13">
        <f>IF(AND(ISNUMBER(B24), B24&gt;0, ISNUMBER('1ª e 2ª EM'!G7)), ('1ª e 2ª EM'!G7/(B24*2)), 0)</f>
        <v>0.5344827586</v>
      </c>
      <c r="P24" s="14">
        <f t="shared" si="4"/>
        <v>0.5929118774</v>
      </c>
    </row>
    <row r="25" ht="21.75" customHeight="1">
      <c r="A25" s="9" t="s">
        <v>64</v>
      </c>
      <c r="B25" s="10">
        <f>'1ª e 2ª EM'!C8</f>
        <v>25</v>
      </c>
      <c r="C25" s="10">
        <f>'1ª e 2ª EM'!B8</f>
        <v>36</v>
      </c>
      <c r="D25" s="11">
        <f t="shared" si="3"/>
        <v>0.6944444444</v>
      </c>
      <c r="E25" s="13">
        <f>IF(AND(ISNUMBER(B25), B25&gt;0, ISNUMBER('1ª e 2ª EM'!H8)), ('1ª e 2ª EM'!H8/(B25*2)), 0)</f>
        <v>0.56</v>
      </c>
      <c r="F25" s="12" t="s">
        <v>75</v>
      </c>
      <c r="G25" s="12" t="s">
        <v>75</v>
      </c>
      <c r="H25" s="13">
        <f>IF(AND(ISNUMBER(B25), B25&gt;0, ISNUMBER('1ª e 2ª EM'!K8)), ('1ª e 2ª EM'!K8/(B25*2)), 0)</f>
        <v>0.72</v>
      </c>
      <c r="I25" s="13">
        <f>IF(AND(ISNUMBER(B25), B25&gt;0, ISNUMBER('1ª e 2ª EM'!F8)), ('1ª e 2ª EM'!F8/(B25*2)), 0)</f>
        <v>0.38</v>
      </c>
      <c r="J25" s="13">
        <f>IF(AND(ISNUMBER(B25), B25&gt;0, ISNUMBER('1ª e 2ª EM'!J8)), ('1ª e 2ª EM'!J8/(B25*2)), 0)</f>
        <v>0.76</v>
      </c>
      <c r="K25" s="13">
        <f>IF(AND(ISNUMBER(B25), B25&gt;0, ISNUMBER('1ª e 2ª EM'!I8)), ('1ª e 2ª EM'!I8/(B25*2)), 0)</f>
        <v>0.62</v>
      </c>
      <c r="L25" s="13">
        <f>IF(AND(ISNUMBER(B25), B25&gt;0, ISNUMBER('1ª e 2ª EM'!L8)), ('1ª e 2ª EM'!L8/(B25*2)), 0)</f>
        <v>0.72</v>
      </c>
      <c r="M25" s="13">
        <f>IF(AND(ISNUMBER(B25), B25&gt;0, ISNUMBER('1ª e 2ª EM'!D8)), ('1ª e 2ª EM'!D8/(B25*4)), 0)</f>
        <v>0.75</v>
      </c>
      <c r="N25" s="13">
        <f>IF(AND(ISNUMBER(B25), B25&gt;0, ISNUMBER('1ª e 2ª EM'!E8)), ('1ª e 2ª EM'!E8/(B25*4)), 0)</f>
        <v>0.6</v>
      </c>
      <c r="O25" s="13">
        <f>IF(AND(ISNUMBER(B25), B25&gt;0, ISNUMBER('1ª e 2ª EM'!G8)), ('1ª e 2ª EM'!G8/(B25*2)), 0)</f>
        <v>0.7</v>
      </c>
      <c r="P25" s="14">
        <f t="shared" si="4"/>
        <v>0.6455555556</v>
      </c>
    </row>
    <row r="26" ht="21.75" customHeight="1">
      <c r="A26" s="9" t="s">
        <v>67</v>
      </c>
      <c r="B26" s="10">
        <f>'1ª e 2ª EM'!C9</f>
        <v>22</v>
      </c>
      <c r="C26" s="10">
        <f>'1ª e 2ª EM'!B9</f>
        <v>29</v>
      </c>
      <c r="D26" s="11">
        <f t="shared" si="3"/>
        <v>0.7586206897</v>
      </c>
      <c r="E26" s="13">
        <f>IF(AND(ISNUMBER(B26), B26&gt;0, ISNUMBER('1ª e 2ª EM'!H9)), ('1ª e 2ª EM'!H9/(B26*2)), 0)</f>
        <v>0.4090909091</v>
      </c>
      <c r="F26" s="12" t="s">
        <v>75</v>
      </c>
      <c r="G26" s="12" t="s">
        <v>75</v>
      </c>
      <c r="H26" s="13">
        <f>IF(AND(ISNUMBER(B26), B26&gt;0, ISNUMBER('1ª e 2ª EM'!K9)), ('1ª e 2ª EM'!K9/(B26*2)), 0)</f>
        <v>0.4090909091</v>
      </c>
      <c r="I26" s="13">
        <f>IF(AND(ISNUMBER(B26), B26&gt;0, ISNUMBER('1ª e 2ª EM'!F9)), ('1ª e 2ª EM'!F9/(B26*2)), 0)</f>
        <v>0.6818181818</v>
      </c>
      <c r="J26" s="13">
        <f>IF(AND(ISNUMBER(B26), B26&gt;0, ISNUMBER('1ª e 2ª EM'!J9)), ('1ª e 2ª EM'!J9/(B26*2)), 0)</f>
        <v>0.1818181818</v>
      </c>
      <c r="K26" s="13">
        <f>IF(AND(ISNUMBER(B26), B26&gt;0, ISNUMBER('1ª e 2ª EM'!I9)), ('1ª e 2ª EM'!I9/(B26*2)), 0)</f>
        <v>0.6818181818</v>
      </c>
      <c r="L26" s="13">
        <f>IF(AND(ISNUMBER(B26), B26&gt;0, ISNUMBER('1ª e 2ª EM'!L9)), ('1ª e 2ª EM'!L9/(B26*2)), 0)</f>
        <v>0.5909090909</v>
      </c>
      <c r="M26" s="13">
        <f>IF(AND(ISNUMBER(B26), B26&gt;0, ISNUMBER('1ª e 2ª EM'!D9)), ('1ª e 2ª EM'!D9/(B26*4)), 0)</f>
        <v>0.2045454545</v>
      </c>
      <c r="N26" s="13">
        <f>IF(AND(ISNUMBER(B26), B26&gt;0, ISNUMBER('1ª e 2ª EM'!E9)), ('1ª e 2ª EM'!E9/(B26*4)), 0)</f>
        <v>0.1704545455</v>
      </c>
      <c r="O26" s="13">
        <f>IF(AND(ISNUMBER(B26), B26&gt;0, ISNUMBER('1ª e 2ª EM'!G9)), ('1ª e 2ª EM'!G9/(B26*2)), 0)</f>
        <v>0.3181818182</v>
      </c>
      <c r="P26" s="14">
        <f t="shared" si="4"/>
        <v>0.4053030303</v>
      </c>
    </row>
    <row r="27" ht="21.75" customHeight="1">
      <c r="A27" s="9" t="s">
        <v>70</v>
      </c>
      <c r="B27" s="10">
        <f>'1ª e 2ª EM'!C10</f>
        <v>19</v>
      </c>
      <c r="C27" s="10">
        <f>'1ª e 2ª EM'!B10</f>
        <v>22</v>
      </c>
      <c r="D27" s="11">
        <f t="shared" si="3"/>
        <v>0.8636363636</v>
      </c>
      <c r="E27" s="13">
        <f>IF(AND(ISNUMBER(B27), B27&gt;0, ISNUMBER('1ª e 2ª EM'!H10)), ('1ª e 2ª EM'!H10/(B27*2)), 0)</f>
        <v>0.6315789474</v>
      </c>
      <c r="F27" s="12" t="s">
        <v>75</v>
      </c>
      <c r="G27" s="12" t="s">
        <v>75</v>
      </c>
      <c r="H27" s="13">
        <f>IF(AND(ISNUMBER(B27), B27&gt;0, ISNUMBER('1ª e 2ª EM'!K10)), ('1ª e 2ª EM'!K10/(B27*2)), 0)</f>
        <v>0.8684210526</v>
      </c>
      <c r="I27" s="13">
        <f>IF(AND(ISNUMBER(B27), B27&gt;0, ISNUMBER('1ª e 2ª EM'!F10)), ('1ª e 2ª EM'!F10/(B27*2)), 0)</f>
        <v>0.6052631579</v>
      </c>
      <c r="J27" s="13">
        <f>IF(AND(ISNUMBER(B27), B27&gt;0, ISNUMBER('1ª e 2ª EM'!J10)), ('1ª e 2ª EM'!J10/(B27*2)), 0)</f>
        <v>0.8947368421</v>
      </c>
      <c r="K27" s="13">
        <f>IF(AND(ISNUMBER(B27), B27&gt;0, ISNUMBER('1ª e 2ª EM'!I10)), ('1ª e 2ª EM'!I10/(B27*2)), 0)</f>
        <v>0.8684210526</v>
      </c>
      <c r="L27" s="13">
        <f>IF(AND(ISNUMBER(B27), B27&gt;0, ISNUMBER('1ª e 2ª EM'!L10)), ('1ª e 2ª EM'!L10/(B27*2)), 0)</f>
        <v>0.8947368421</v>
      </c>
      <c r="M27" s="13">
        <f>IF(AND(ISNUMBER(B27), B27&gt;0, ISNUMBER('1ª e 2ª EM'!D10)), ('1ª e 2ª EM'!D10/(B27*4)), 0)</f>
        <v>0.6447368421</v>
      </c>
      <c r="N27" s="13">
        <f>IF(AND(ISNUMBER(B27), B27&gt;0, ISNUMBER('1ª e 2ª EM'!E10)), ('1ª e 2ª EM'!E10/(B27*4)), 0)</f>
        <v>0.6447368421</v>
      </c>
      <c r="O27" s="13">
        <f>IF(AND(ISNUMBER(B27), B27&gt;0, ISNUMBER('1ª e 2ª EM'!G10)), ('1ª e 2ª EM'!G10/(B27*2)), 0)</f>
        <v>0.6578947368</v>
      </c>
      <c r="P27" s="14">
        <f t="shared" si="4"/>
        <v>0.7456140351</v>
      </c>
    </row>
    <row r="28" ht="21.75" customHeight="1">
      <c r="A28" s="9" t="s">
        <v>73</v>
      </c>
      <c r="B28" s="10">
        <f>'1ª e 2ª EM'!C11</f>
        <v>12</v>
      </c>
      <c r="C28" s="10">
        <f>'1ª e 2ª EM'!B11</f>
        <v>26</v>
      </c>
      <c r="D28" s="11">
        <f t="shared" si="3"/>
        <v>0.4615384615</v>
      </c>
      <c r="E28" s="13">
        <f>IF(AND(ISNUMBER(B28), B28&gt;0, ISNUMBER('1ª e 2ª EM'!H11)), ('1ª e 2ª EM'!H11/(B28*2)), 0)</f>
        <v>0.25</v>
      </c>
      <c r="F28" s="12" t="s">
        <v>75</v>
      </c>
      <c r="G28" s="12" t="s">
        <v>75</v>
      </c>
      <c r="H28" s="13">
        <f>IF(AND(ISNUMBER(B28), B28&gt;0, ISNUMBER('1ª e 2ª EM'!K11)), ('1ª e 2ª EM'!K11/(B28*2)), 0)</f>
        <v>0.3333333333</v>
      </c>
      <c r="I28" s="13">
        <f>IF(AND(ISNUMBER(B28), B28&gt;0, ISNUMBER('1ª e 2ª EM'!F11)), ('1ª e 2ª EM'!F11/(B28*2)), 0)</f>
        <v>0.2083333333</v>
      </c>
      <c r="J28" s="13">
        <f>IF(AND(ISNUMBER(B28), B28&gt;0, ISNUMBER('1ª e 2ª EM'!J11)), ('1ª e 2ª EM'!J11/(B28*2)), 0)</f>
        <v>0.375</v>
      </c>
      <c r="K28" s="13">
        <f>IF(AND(ISNUMBER(B28), B28&gt;0, ISNUMBER('1ª e 2ª EM'!I11)), ('1ª e 2ª EM'!I11/(B28*2)), 0)</f>
        <v>0.5</v>
      </c>
      <c r="L28" s="13">
        <f>IF(AND(ISNUMBER(B28), B28&gt;0, ISNUMBER('1ª e 2ª EM'!L11)), ('1ª e 2ª EM'!L11/(B28*2)), 0)</f>
        <v>0.4583333333</v>
      </c>
      <c r="M28" s="13">
        <f>IF(AND(ISNUMBER(B28), B28&gt;0, ISNUMBER('1ª e 2ª EM'!D11)), ('1ª e 2ª EM'!D11/(B28*4)), 0)</f>
        <v>0.5416666667</v>
      </c>
      <c r="N28" s="13">
        <f>IF(AND(ISNUMBER(B28), B28&gt;0, ISNUMBER('1ª e 2ª EM'!E11)), ('1ª e 2ª EM'!E11/(B28*4)), 0)</f>
        <v>0.3125</v>
      </c>
      <c r="O28" s="13">
        <f>IF(AND(ISNUMBER(B28), B28&gt;0, ISNUMBER('1ª e 2ª EM'!G11)), ('1ª e 2ª EM'!G11/(B28*2)), 0)</f>
        <v>0.3333333333</v>
      </c>
      <c r="P28" s="14">
        <f t="shared" si="4"/>
        <v>0.3680555556</v>
      </c>
    </row>
    <row r="29" ht="21.75" customHeight="1">
      <c r="A29" s="9" t="s">
        <v>74</v>
      </c>
      <c r="B29" s="10">
        <f>'1ª e 2ª EM'!C12</f>
        <v>17</v>
      </c>
      <c r="C29" s="10">
        <f>'1ª e 2ª EM'!B12</f>
        <v>18</v>
      </c>
      <c r="D29" s="11">
        <f t="shared" si="3"/>
        <v>0.9444444444</v>
      </c>
      <c r="E29" s="13">
        <f>IF(AND(ISNUMBER(B29), B29&gt;0, ISNUMBER('1ª e 2ª EM'!H12)), ('1ª e 2ª EM'!H12/(B29*2)), 0)</f>
        <v>0.4705882353</v>
      </c>
      <c r="F29" s="12" t="s">
        <v>75</v>
      </c>
      <c r="G29" s="12" t="s">
        <v>75</v>
      </c>
      <c r="H29" s="13">
        <f>IF(AND(ISNUMBER(B29), B29&gt;0, ISNUMBER('1ª e 2ª EM'!K12)), ('1ª e 2ª EM'!K12/(B29*2)), 0)</f>
        <v>0.2941176471</v>
      </c>
      <c r="I29" s="13">
        <f>IF(AND(ISNUMBER(B29), B29&gt;0, ISNUMBER('1ª e 2ª EM'!F12)), ('1ª e 2ª EM'!F12/(B29*2)), 0)</f>
        <v>0.2352941176</v>
      </c>
      <c r="J29" s="13">
        <f>IF(AND(ISNUMBER(B29), B29&gt;0, ISNUMBER('1ª e 2ª EM'!J12)), ('1ª e 2ª EM'!J12/(B29*2)), 0)</f>
        <v>0.08823529412</v>
      </c>
      <c r="K29" s="13">
        <f>IF(AND(ISNUMBER(B29), B29&gt;0, ISNUMBER('1ª e 2ª EM'!I12)), ('1ª e 2ª EM'!I12/(B29*2)), 0)</f>
        <v>0.4117647059</v>
      </c>
      <c r="L29" s="13">
        <f>IF(AND(ISNUMBER(B29), B29&gt;0, ISNUMBER('1ª e 2ª EM'!L12)), ('1ª e 2ª EM'!L12/(B29*2)), 0)</f>
        <v>0.3823529412</v>
      </c>
      <c r="M29" s="13">
        <f>IF(AND(ISNUMBER(B29), B29&gt;0, ISNUMBER('1ª e 2ª EM'!D12)), ('1ª e 2ª EM'!D12/(B29*4)), 0)</f>
        <v>0.4411764706</v>
      </c>
      <c r="N29" s="13">
        <f>IF(AND(ISNUMBER(B29), B29&gt;0, ISNUMBER('1ª e 2ª EM'!E12)), ('1ª e 2ª EM'!E12/(B29*4)), 0)</f>
        <v>0.3823529412</v>
      </c>
      <c r="O29" s="13">
        <f>IF(AND(ISNUMBER(B29), B29&gt;0, ISNUMBER('1ª e 2ª EM'!G12)), ('1ª e 2ª EM'!G12/(B29*2)), 0)</f>
        <v>0.3823529412</v>
      </c>
      <c r="P29" s="14">
        <f t="shared" si="4"/>
        <v>0.3431372549</v>
      </c>
    </row>
    <row r="30" ht="21.75" customHeight="1">
      <c r="A30" s="9" t="s">
        <v>12</v>
      </c>
      <c r="B30" s="10">
        <f>'3ª EM'!C2</f>
        <v>17</v>
      </c>
      <c r="C30" s="10">
        <f>'3ª EM'!B2</f>
        <v>22</v>
      </c>
      <c r="D30" s="11">
        <f t="shared" si="3"/>
        <v>0.7727272727</v>
      </c>
      <c r="E30" s="12" t="s">
        <v>75</v>
      </c>
      <c r="F30" s="12" t="s">
        <v>75</v>
      </c>
      <c r="G30" s="12" t="s">
        <v>75</v>
      </c>
      <c r="H30" s="12" t="s">
        <v>75</v>
      </c>
      <c r="I30" s="13">
        <f>IF(AND(ISNUMBER(B30), B30&gt;0, ISNUMBER('3ª EM'!F2)), ('3ª EM'!F2/(B30*4)), 0)</f>
        <v>0.4117647059</v>
      </c>
      <c r="J30" s="12" t="s">
        <v>75</v>
      </c>
      <c r="K30" s="13">
        <f>IF(AND(ISNUMBER(B30), B30&gt;0, ISNUMBER('3ª EM'!G2)), ('3ª EM'!G2/(B30*4)), 0)</f>
        <v>0.75</v>
      </c>
      <c r="L30" s="13">
        <f>IF(AND(ISNUMBER(B30), B30&gt;0, ISNUMBER('3ª EM'!H2)), ('3ª EM'!H2/(B30*4)), 0)</f>
        <v>0.75</v>
      </c>
      <c r="M30" s="13">
        <f>IF(AND(ISNUMBER(B30), B30&gt;0, ISNUMBER('3ª EM'!D2)), ('3ª EM'!D2/(B30*5)), 0)</f>
        <v>0.7411764706</v>
      </c>
      <c r="N30" s="13">
        <f>IF(AND(ISNUMBER(B30), B30&gt;0, ISNUMBER('3ª EM'!E2)), ('3ª EM'!E2/(B30*5)), 0)</f>
        <v>0.6</v>
      </c>
      <c r="O30" s="12" t="s">
        <v>75</v>
      </c>
      <c r="P30" s="14">
        <f t="shared" si="4"/>
        <v>0.6505882353</v>
      </c>
    </row>
    <row r="31" ht="21.75" customHeight="1">
      <c r="A31" s="9" t="s">
        <v>44</v>
      </c>
      <c r="B31" s="10">
        <f>'3ª EM'!C3</f>
        <v>23</v>
      </c>
      <c r="C31" s="10">
        <f>'3ª EM'!B3</f>
        <v>39</v>
      </c>
      <c r="D31" s="11">
        <f t="shared" si="3"/>
        <v>0.5897435897</v>
      </c>
      <c r="E31" s="12" t="s">
        <v>75</v>
      </c>
      <c r="F31" s="12" t="s">
        <v>75</v>
      </c>
      <c r="G31" s="12" t="s">
        <v>75</v>
      </c>
      <c r="H31" s="12" t="s">
        <v>75</v>
      </c>
      <c r="I31" s="13">
        <f>IF(AND(ISNUMBER(B31), B31&gt;0, ISNUMBER('3ª EM'!F3)), ('3ª EM'!F3/(B31*4)), 0)</f>
        <v>0.3369565217</v>
      </c>
      <c r="J31" s="12" t="s">
        <v>75</v>
      </c>
      <c r="K31" s="13">
        <f>IF(AND(ISNUMBER(B31), B31&gt;0, ISNUMBER('3ª EM'!G3)), ('3ª EM'!G3/(B31*4)), 0)</f>
        <v>0.7608695652</v>
      </c>
      <c r="L31" s="13">
        <f>IF(AND(ISNUMBER(B31), B31&gt;0, ISNUMBER('3ª EM'!H3)), ('3ª EM'!H3/(B31*4)), 0)</f>
        <v>0.8043478261</v>
      </c>
      <c r="M31" s="13">
        <f>IF(AND(ISNUMBER(B31), B31&gt;0, ISNUMBER('3ª EM'!D3)), ('3ª EM'!D3/(B31*5)), 0)</f>
        <v>0.6173913043</v>
      </c>
      <c r="N31" s="13">
        <f>IF(AND(ISNUMBER(B31), B31&gt;0, ISNUMBER('3ª EM'!E3)), ('3ª EM'!E3/(B31*5)), 0)</f>
        <v>0.4434782609</v>
      </c>
      <c r="O31" s="12" t="s">
        <v>75</v>
      </c>
      <c r="P31" s="14">
        <f t="shared" si="4"/>
        <v>0.5926086957</v>
      </c>
    </row>
    <row r="32" ht="21.75" customHeight="1">
      <c r="A32" s="9" t="s">
        <v>46</v>
      </c>
      <c r="B32" s="10">
        <f>'3ª EM'!C4</f>
        <v>20</v>
      </c>
      <c r="C32" s="10">
        <f>'3ª EM'!B4</f>
        <v>40</v>
      </c>
      <c r="D32" s="11">
        <f t="shared" si="3"/>
        <v>0.5</v>
      </c>
      <c r="E32" s="12" t="s">
        <v>75</v>
      </c>
      <c r="F32" s="12" t="s">
        <v>75</v>
      </c>
      <c r="G32" s="12" t="s">
        <v>75</v>
      </c>
      <c r="H32" s="12" t="s">
        <v>75</v>
      </c>
      <c r="I32" s="13">
        <f>IF(AND(ISNUMBER(B32), B32&gt;0, ISNUMBER('3ª EM'!F4)), ('3ª EM'!F4/(B32*4)), 0)</f>
        <v>0.275</v>
      </c>
      <c r="J32" s="12" t="s">
        <v>75</v>
      </c>
      <c r="K32" s="13">
        <f>IF(AND(ISNUMBER(B32), B32&gt;0, ISNUMBER('3ª EM'!G4)), ('3ª EM'!G4/(B32*4)), 0)</f>
        <v>0.7375</v>
      </c>
      <c r="L32" s="13">
        <f>IF(AND(ISNUMBER(B32), B32&gt;0, ISNUMBER('3ª EM'!H4)), ('3ª EM'!H4/(B32*4)), 0)</f>
        <v>0.775</v>
      </c>
      <c r="M32" s="13">
        <f>IF(AND(ISNUMBER(B32), B32&gt;0, ISNUMBER('3ª EM'!D4)), ('3ª EM'!D4/(B32*5)), 0)</f>
        <v>0.75</v>
      </c>
      <c r="N32" s="13">
        <f>IF(AND(ISNUMBER(B32), B32&gt;0, ISNUMBER('3ª EM'!E4)), ('3ª EM'!E4/(B32*5)), 0)</f>
        <v>0.53</v>
      </c>
      <c r="O32" s="12" t="s">
        <v>75</v>
      </c>
      <c r="P32" s="14">
        <f t="shared" si="4"/>
        <v>0.6135</v>
      </c>
    </row>
    <row r="33" ht="21.75" customHeight="1">
      <c r="A33" s="9" t="s">
        <v>48</v>
      </c>
      <c r="B33" s="10">
        <f>'3ª EM'!C5</f>
        <v>28</v>
      </c>
      <c r="C33" s="10">
        <f>'3ª EM'!B5</f>
        <v>39</v>
      </c>
      <c r="D33" s="11">
        <f t="shared" si="3"/>
        <v>0.7179487179</v>
      </c>
      <c r="E33" s="12" t="s">
        <v>75</v>
      </c>
      <c r="F33" s="12" t="s">
        <v>75</v>
      </c>
      <c r="G33" s="12" t="s">
        <v>75</v>
      </c>
      <c r="H33" s="12" t="s">
        <v>75</v>
      </c>
      <c r="I33" s="13">
        <f>IF(AND(ISNUMBER(B33), B33&gt;0, ISNUMBER('3ª EM'!F5)), ('3ª EM'!F5/(B33*4)), 0)</f>
        <v>0.4285714286</v>
      </c>
      <c r="J33" s="12" t="s">
        <v>75</v>
      </c>
      <c r="K33" s="13">
        <f>IF(AND(ISNUMBER(B33), B33&gt;0, ISNUMBER('3ª EM'!G5)), ('3ª EM'!G5/(B33*4)), 0)</f>
        <v>0.8482142857</v>
      </c>
      <c r="L33" s="13">
        <f>IF(AND(ISNUMBER(B33), B33&gt;0, ISNUMBER('3ª EM'!H5)), ('3ª EM'!H5/(B33*4)), 0)</f>
        <v>0.7321428571</v>
      </c>
      <c r="M33" s="13">
        <f>IF(AND(ISNUMBER(B33), B33&gt;0, ISNUMBER('3ª EM'!D5)), ('3ª EM'!D5/(B33*5)), 0)</f>
        <v>0.6928571429</v>
      </c>
      <c r="N33" s="13">
        <f>IF(AND(ISNUMBER(B33), B33&gt;0, ISNUMBER('3ª EM'!E5)), ('3ª EM'!E5/(B33*5)), 0)</f>
        <v>0.4071428571</v>
      </c>
      <c r="O33" s="12" t="s">
        <v>75</v>
      </c>
      <c r="P33" s="14">
        <f t="shared" si="4"/>
        <v>0.6217857143</v>
      </c>
    </row>
    <row r="34" ht="21.75" customHeight="1">
      <c r="A34" s="9" t="s">
        <v>51</v>
      </c>
      <c r="B34" s="10">
        <f>'3ª EM'!C6</f>
        <v>28</v>
      </c>
      <c r="C34" s="10">
        <f>'3ª EM'!B6</f>
        <v>39</v>
      </c>
      <c r="D34" s="11">
        <f t="shared" si="3"/>
        <v>0.7179487179</v>
      </c>
      <c r="E34" s="12" t="s">
        <v>75</v>
      </c>
      <c r="F34" s="12" t="s">
        <v>75</v>
      </c>
      <c r="G34" s="12" t="s">
        <v>75</v>
      </c>
      <c r="H34" s="12" t="s">
        <v>75</v>
      </c>
      <c r="I34" s="13">
        <f>IF(AND(ISNUMBER(B34), B34&gt;0, ISNUMBER('3ª EM'!F6)), ('3ª EM'!F6/(B34*4)), 0)</f>
        <v>0.3482142857</v>
      </c>
      <c r="J34" s="12" t="s">
        <v>75</v>
      </c>
      <c r="K34" s="13">
        <f>IF(AND(ISNUMBER(B34), B34&gt;0, ISNUMBER('3ª EM'!G6)), ('3ª EM'!G6/(B34*4)), 0)</f>
        <v>0.7946428571</v>
      </c>
      <c r="L34" s="13">
        <f>IF(AND(ISNUMBER(B34), B34&gt;0, ISNUMBER('3ª EM'!H6)), ('3ª EM'!H6/(B34*4)), 0)</f>
        <v>0.6160714286</v>
      </c>
      <c r="M34" s="13">
        <f>IF(AND(ISNUMBER(B34), B34&gt;0, ISNUMBER('3ª EM'!D6)), ('3ª EM'!D6/(B34*5)), 0)</f>
        <v>0.7571428571</v>
      </c>
      <c r="N34" s="13">
        <f>IF(AND(ISNUMBER(B34), B34&gt;0, ISNUMBER('3ª EM'!E6)), ('3ª EM'!E6/(B34*5)), 0)</f>
        <v>0.5071428571</v>
      </c>
      <c r="O34" s="12" t="s">
        <v>75</v>
      </c>
      <c r="P34" s="14">
        <f t="shared" si="4"/>
        <v>0.6046428571</v>
      </c>
    </row>
    <row r="35" ht="21.75" customHeight="1">
      <c r="A35" s="9" t="s">
        <v>53</v>
      </c>
      <c r="B35" s="10">
        <f>'3ª EM'!C7</f>
        <v>33</v>
      </c>
      <c r="C35" s="10">
        <f>'3ª EM'!B7</f>
        <v>38</v>
      </c>
      <c r="D35" s="11">
        <f t="shared" si="3"/>
        <v>0.8684210526</v>
      </c>
      <c r="E35" s="12" t="s">
        <v>75</v>
      </c>
      <c r="F35" s="12" t="s">
        <v>75</v>
      </c>
      <c r="G35" s="12" t="s">
        <v>75</v>
      </c>
      <c r="H35" s="12" t="s">
        <v>75</v>
      </c>
      <c r="I35" s="13">
        <f>IF(AND(ISNUMBER(B35), B35&gt;0, ISNUMBER('3ª EM'!F7)), ('3ª EM'!F7/(B35*4)), 0)</f>
        <v>0.3106060606</v>
      </c>
      <c r="J35" s="12" t="s">
        <v>75</v>
      </c>
      <c r="K35" s="13">
        <f>IF(AND(ISNUMBER(B35), B35&gt;0, ISNUMBER('3ª EM'!G7)), ('3ª EM'!G7/(B35*4)), 0)</f>
        <v>0.5606060606</v>
      </c>
      <c r="L35" s="13">
        <f>IF(AND(ISNUMBER(B35), B35&gt;0, ISNUMBER('3ª EM'!H7)), ('3ª EM'!H7/(B35*4)), 0)</f>
        <v>0.3560606061</v>
      </c>
      <c r="M35" s="13">
        <f>IF(AND(ISNUMBER(B35), B35&gt;0, ISNUMBER('3ª EM'!D7)), ('3ª EM'!D7/(B35*5)), 0)</f>
        <v>0.7393939394</v>
      </c>
      <c r="N35" s="13">
        <f>IF(AND(ISNUMBER(B35), B35&gt;0, ISNUMBER('3ª EM'!E7)), ('3ª EM'!E7/(B35*5)), 0)</f>
        <v>0.3878787879</v>
      </c>
      <c r="O35" s="12" t="s">
        <v>75</v>
      </c>
      <c r="P35" s="14">
        <f t="shared" si="4"/>
        <v>0.4709090909</v>
      </c>
    </row>
    <row r="36" ht="21.75" customHeight="1">
      <c r="A36" s="9" t="s">
        <v>55</v>
      </c>
      <c r="B36" s="10">
        <f>'3ª EM'!C8</f>
        <v>12</v>
      </c>
      <c r="C36" s="10">
        <f>'3ª EM'!B8</f>
        <v>16</v>
      </c>
      <c r="D36" s="11">
        <f t="shared" si="3"/>
        <v>0.75</v>
      </c>
      <c r="E36" s="12" t="s">
        <v>75</v>
      </c>
      <c r="F36" s="12" t="s">
        <v>75</v>
      </c>
      <c r="G36" s="12" t="s">
        <v>75</v>
      </c>
      <c r="H36" s="12" t="s">
        <v>75</v>
      </c>
      <c r="I36" s="13">
        <f>IF(AND(ISNUMBER(B36), B36&gt;0, ISNUMBER('3ª EM'!F8)), ('3ª EM'!F8/(B36*4)), 0)</f>
        <v>0.3125</v>
      </c>
      <c r="J36" s="12" t="s">
        <v>75</v>
      </c>
      <c r="K36" s="13">
        <f>IF(AND(ISNUMBER(B36), B36&gt;0, ISNUMBER('3ª EM'!G8)), ('3ª EM'!G8/(B36*4)), 0)</f>
        <v>0.375</v>
      </c>
      <c r="L36" s="13">
        <f>IF(AND(ISNUMBER(B36), B36&gt;0, ISNUMBER('3ª EM'!H8)), ('3ª EM'!H8/(B36*4)), 0)</f>
        <v>0.2708333333</v>
      </c>
      <c r="M36" s="13">
        <f>IF(AND(ISNUMBER(B36), B36&gt;0, ISNUMBER('3ª EM'!D8)), ('3ª EM'!D8/(B36*5)), 0)</f>
        <v>0.4833333333</v>
      </c>
      <c r="N36" s="13">
        <f>IF(AND(ISNUMBER(B36), B36&gt;0, ISNUMBER('3ª EM'!E8)), ('3ª EM'!E8/(B36*5)), 0)</f>
        <v>0.35</v>
      </c>
      <c r="O36" s="12" t="s">
        <v>75</v>
      </c>
      <c r="P36" s="14">
        <f t="shared" si="4"/>
        <v>0.3583333333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36">
    <cfRule type="cellIs" dxfId="0" priority="1" stopIfTrue="1" operator="between">
      <formula>0.50001</formula>
      <formula>1</formula>
    </cfRule>
  </conditionalFormatting>
  <conditionalFormatting sqref="E3:P36">
    <cfRule type="cellIs" dxfId="1" priority="2" stopIfTrue="1" operator="between">
      <formula>0.3</formula>
      <formula>0.5</formula>
    </cfRule>
  </conditionalFormatting>
  <conditionalFormatting sqref="E3:P36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