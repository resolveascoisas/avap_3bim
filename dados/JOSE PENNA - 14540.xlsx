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<sst xmlns="http://schemas.openxmlformats.org/spreadsheetml/2006/main" count="142" uniqueCount="57">
  <si>
    <t>6º ao 9º EFAF</t>
  </si>
  <si>
    <t>3ª EM</t>
  </si>
  <si>
    <t>1ª/2ª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</si>
  <si>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</si>
  <si>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</si>
  <si>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</si>
  <si>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</si>
  <si>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</si>
  <si>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</si>
  <si>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</si>
  <si>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</si>
  <si>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</si>
  <si>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- 41015223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</si>
  <si>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</si>
  <si>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</si>
  <si>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</si>
  <si>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</si>
  <si>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</si>
  <si>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</si>
  <si>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</si>
  <si>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</si>
  <si>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</si>
  <si>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12173 - AGRONEGÓCIO - 3ª SERIE B INTEGRAL 9H ANUAL - 40964116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</si>
  <si>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</si>
  <si>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</si>
  <si>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</si>
  <si>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9H ANUAL - 41139019</t>
  </si>
  <si>
    <t>Turma</t>
  </si>
  <si>
    <t>Alunos (Pres.)</t>
  </si>
  <si>
    <t>3ª SERIE C INTEGRAL 9H ANUAL - 40945204</t>
  </si>
  <si>
    <t>7º ANO A INTEGRAL 9H ANUAL - 40907791</t>
  </si>
  <si>
    <t>1ª SERIE A INTEGRAL 9H ANUAL - 40967653</t>
  </si>
  <si>
    <t>Total Matric.</t>
  </si>
  <si>
    <t>Part. (%)</t>
  </si>
  <si>
    <t>Biologia</t>
  </si>
  <si>
    <t>4065 - VENDAS - 3ª SERIE A INTEGRAL 9H ANUAL - 40964115</t>
  </si>
  <si>
    <t>Ciências</t>
  </si>
  <si>
    <t>Filosofia</t>
  </si>
  <si>
    <t>Sociologia</t>
  </si>
  <si>
    <t>7º ANO B INTEGRAL 9H ANUAL - 40907793</t>
  </si>
  <si>
    <t>1ª SERIE B INTEGRAL 9H ANUAL - 40967652</t>
  </si>
  <si>
    <t>Física</t>
  </si>
  <si>
    <t>Geografia</t>
  </si>
  <si>
    <t>História</t>
  </si>
  <si>
    <t>Língua Inglesa</t>
  </si>
  <si>
    <t>8º ANO A INTEGRAL 9H ANUAL - 40907794</t>
  </si>
  <si>
    <t>Língua Portuguesa</t>
  </si>
  <si>
    <t>Matemática</t>
  </si>
  <si>
    <t>1ª SERIE C INTEGRAL 9H ANUAL - 40967654</t>
  </si>
  <si>
    <t>Química</t>
  </si>
  <si>
    <t>Média Geral</t>
  </si>
  <si>
    <t>8º ANO B INTEGRAL 9H ANUAL - 40907790</t>
  </si>
  <si>
    <t>MÉDIA GLOBAL DA ESCOLA</t>
  </si>
  <si>
    <t>9º ANO A INTEGRAL 9H ANUAL - 40907792</t>
  </si>
  <si>
    <t>4065 - VENDAS - 2ª SERIE C INTEGRAL 9H ANUAL - 41139020</t>
  </si>
  <si>
    <t>9º ANO B INTEGRAL 9H ANUAL - 40907789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</si>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</sst>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2" t="s">
        <v>12</v>
      </c>
      <c r="B2" s="3">
        <v>29.0</v>
      </c>
      <c r="C2" s="4">
        <v>26.0</v>
      </c>
      <c r="D2" s="4">
        <v>68.0</v>
      </c>
      <c r="E2" s="4">
        <v>67.0</v>
      </c>
      <c r="F2" s="4">
        <v>57.0</v>
      </c>
      <c r="G2" s="4">
        <v>43.0</v>
      </c>
      <c r="H2" s="4">
        <v>18.0</v>
      </c>
      <c r="I2" s="4">
        <v>54.0</v>
      </c>
      <c r="J2" s="3">
        <f t="shared" ref="J2:J8" si="1">IF(COUNT(D2:I2)&gt;0, SUM(D2:I2), 0)</f>
        <v>307</v>
      </c>
    </row>
    <row r="3">
      <c r="A3" s="2" t="s">
        <v>30</v>
      </c>
      <c r="B3" s="3">
        <v>32.0</v>
      </c>
      <c r="C3" s="4">
        <v>22.0</v>
      </c>
      <c r="D3" s="4">
        <v>63.0</v>
      </c>
      <c r="E3" s="4">
        <v>50.0</v>
      </c>
      <c r="F3" s="4">
        <v>52.0</v>
      </c>
      <c r="G3" s="4">
        <v>49.0</v>
      </c>
      <c r="H3" s="4">
        <v>39.0</v>
      </c>
      <c r="I3" s="4">
        <v>44.0</v>
      </c>
      <c r="J3" s="3">
        <f t="shared" si="1"/>
        <v>297</v>
      </c>
    </row>
    <row r="4">
      <c r="A4" s="2" t="s">
        <v>39</v>
      </c>
      <c r="B4" s="3">
        <v>29.0</v>
      </c>
      <c r="C4" s="4">
        <v>20.0</v>
      </c>
      <c r="D4" s="4">
        <v>43.0</v>
      </c>
      <c r="E4" s="4">
        <v>47.0</v>
      </c>
      <c r="F4" s="4">
        <v>41.0</v>
      </c>
      <c r="G4" s="4">
        <v>44.0</v>
      </c>
      <c r="H4" s="4">
        <v>36.0</v>
      </c>
      <c r="I4" s="4">
        <v>38.0</v>
      </c>
      <c r="J4" s="3">
        <f t="shared" si="1"/>
        <v>249</v>
      </c>
    </row>
    <row r="5">
      <c r="A5" s="2" t="s">
        <v>45</v>
      </c>
      <c r="B5" s="3">
        <v>24.0</v>
      </c>
      <c r="C5" s="4">
        <v>12.0</v>
      </c>
      <c r="D5" s="4">
        <v>44.0</v>
      </c>
      <c r="E5" s="4">
        <v>19.0</v>
      </c>
      <c r="F5" s="4">
        <v>24.0</v>
      </c>
      <c r="G5" s="4">
        <v>21.0</v>
      </c>
      <c r="H5" s="4">
        <v>23.0</v>
      </c>
      <c r="I5" s="4">
        <v>22.0</v>
      </c>
      <c r="J5" s="3">
        <f t="shared" si="1"/>
        <v>153</v>
      </c>
    </row>
    <row r="6">
      <c r="A6" s="2" t="s">
        <v>51</v>
      </c>
      <c r="B6" s="3">
        <v>29.0</v>
      </c>
      <c r="C6" s="4">
        <v>20.0</v>
      </c>
      <c r="D6" s="4">
        <v>59.0</v>
      </c>
      <c r="E6" s="4">
        <v>49.0</v>
      </c>
      <c r="F6" s="4">
        <v>48.0</v>
      </c>
      <c r="G6" s="4">
        <v>51.0</v>
      </c>
      <c r="H6" s="4">
        <v>47.0</v>
      </c>
      <c r="I6" s="4">
        <v>49.0</v>
      </c>
      <c r="J6" s="3">
        <f t="shared" si="1"/>
        <v>303</v>
      </c>
    </row>
    <row r="7">
      <c r="A7" s="2" t="s">
        <v>53</v>
      </c>
      <c r="B7" s="3">
        <v>32.0</v>
      </c>
      <c r="C7" s="4">
        <v>21.0</v>
      </c>
      <c r="D7" s="4">
        <v>58.0</v>
      </c>
      <c r="E7" s="4">
        <v>40.0</v>
      </c>
      <c r="F7" s="4">
        <v>46.0</v>
      </c>
      <c r="G7" s="4">
        <v>47.0</v>
      </c>
      <c r="H7" s="4">
        <v>33.0</v>
      </c>
      <c r="I7" s="4">
        <v>44.0</v>
      </c>
      <c r="J7" s="3">
        <f t="shared" si="1"/>
        <v>268</v>
      </c>
    </row>
    <row r="8">
      <c r="A8" s="2" t="s">
        <v>55</v>
      </c>
      <c r="B8" s="3">
        <v>30.0</v>
      </c>
      <c r="C8" s="4">
        <v>19.0</v>
      </c>
      <c r="D8" s="4">
        <v>55.0</v>
      </c>
      <c r="E8" s="4">
        <v>50.0</v>
      </c>
      <c r="F8" s="4">
        <v>45.0</v>
      </c>
      <c r="G8" s="4">
        <v>51.0</v>
      </c>
      <c r="H8" s="4">
        <v>32.0</v>
      </c>
      <c r="I8" s="4">
        <v>43.0</v>
      </c>
      <c r="J8" s="3">
        <f t="shared" si="1"/>
        <v>276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23</v>
      </c>
      <c r="K1" s="1" t="s">
        <v>24</v>
      </c>
      <c r="L1" s="1" t="s">
        <v>25</v>
      </c>
      <c r="M1" s="1" t="s">
        <v>11</v>
      </c>
    </row>
    <row r="2">
      <c r="A2" s="2" t="s">
        <v>26</v>
      </c>
      <c r="B2" s="3">
        <v>20.0</v>
      </c>
      <c r="C2" s="4">
        <v>11.0</v>
      </c>
      <c r="D2" s="4">
        <v>25.0</v>
      </c>
      <c r="E2" s="4">
        <v>25.0</v>
      </c>
      <c r="F2" s="4">
        <v>7.0</v>
      </c>
      <c r="G2" s="4">
        <v>12.0</v>
      </c>
      <c r="H2" s="4">
        <v>13.0</v>
      </c>
      <c r="I2" s="4">
        <v>17.0</v>
      </c>
      <c r="J2" s="4">
        <v>6.0</v>
      </c>
      <c r="K2" s="4">
        <v>13.0</v>
      </c>
      <c r="L2" s="4">
        <v>7.0</v>
      </c>
      <c r="M2" s="3">
        <f t="shared" ref="M2:M6" si="1">IF(COUNT(D2:L2)&gt;0, SUM(D2:L2), 0)</f>
        <v>125</v>
      </c>
    </row>
    <row r="3">
      <c r="A3" s="2" t="s">
        <v>31</v>
      </c>
      <c r="B3" s="3">
        <v>33.0</v>
      </c>
      <c r="C3" s="4">
        <v>21.0</v>
      </c>
      <c r="D3" s="4">
        <v>68.0</v>
      </c>
      <c r="E3" s="4">
        <v>76.0</v>
      </c>
      <c r="F3" s="4">
        <v>31.0</v>
      </c>
      <c r="G3" s="4">
        <v>33.0</v>
      </c>
      <c r="H3" s="4">
        <v>20.0</v>
      </c>
      <c r="I3" s="4">
        <v>29.0</v>
      </c>
      <c r="J3" s="4">
        <v>32.0</v>
      </c>
      <c r="K3" s="4">
        <v>25.0</v>
      </c>
      <c r="L3" s="4">
        <v>28.0</v>
      </c>
      <c r="M3" s="3">
        <f t="shared" si="1"/>
        <v>342</v>
      </c>
    </row>
    <row r="4">
      <c r="A4" s="2" t="s">
        <v>40</v>
      </c>
      <c r="B4" s="3">
        <v>36.0</v>
      </c>
      <c r="C4" s="4">
        <v>23.0</v>
      </c>
      <c r="D4" s="4">
        <v>76.0</v>
      </c>
      <c r="E4" s="4">
        <v>77.0</v>
      </c>
      <c r="F4" s="4">
        <v>30.0</v>
      </c>
      <c r="G4" s="4">
        <v>27.0</v>
      </c>
      <c r="H4" s="4">
        <v>30.0</v>
      </c>
      <c r="I4" s="4">
        <v>18.0</v>
      </c>
      <c r="J4" s="4">
        <v>34.0</v>
      </c>
      <c r="K4" s="4">
        <v>30.0</v>
      </c>
      <c r="L4" s="4">
        <v>21.0</v>
      </c>
      <c r="M4" s="3">
        <f t="shared" si="1"/>
        <v>343</v>
      </c>
    </row>
    <row r="5">
      <c r="A5" s="2" t="s">
        <v>48</v>
      </c>
      <c r="B5" s="3">
        <v>35.0</v>
      </c>
      <c r="C5" s="4">
        <v>23.0</v>
      </c>
      <c r="D5" s="4">
        <v>82.0</v>
      </c>
      <c r="E5" s="4">
        <v>79.0</v>
      </c>
      <c r="F5" s="4">
        <v>26.0</v>
      </c>
      <c r="G5" s="4">
        <v>27.0</v>
      </c>
      <c r="H5" s="4">
        <v>36.0</v>
      </c>
      <c r="I5" s="4">
        <v>34.0</v>
      </c>
      <c r="J5" s="4">
        <v>23.0</v>
      </c>
      <c r="K5" s="4">
        <v>25.0</v>
      </c>
      <c r="L5" s="4">
        <v>30.0</v>
      </c>
      <c r="M5" s="3">
        <f t="shared" si="1"/>
        <v>362</v>
      </c>
    </row>
    <row r="6">
      <c r="A6" s="2" t="s">
        <v>54</v>
      </c>
      <c r="B6" s="3">
        <v>20.0</v>
      </c>
      <c r="C6" s="4">
        <v>12.0</v>
      </c>
      <c r="D6" s="4">
        <v>39.0</v>
      </c>
      <c r="E6" s="4">
        <v>23.0</v>
      </c>
      <c r="F6" s="4">
        <v>3.0</v>
      </c>
      <c r="G6" s="4">
        <v>16.0</v>
      </c>
      <c r="H6" s="4">
        <v>11.0</v>
      </c>
      <c r="I6" s="4">
        <v>19.0</v>
      </c>
      <c r="J6" s="4">
        <v>5.0</v>
      </c>
      <c r="K6" s="4">
        <v>8.0</v>
      </c>
      <c r="L6" s="4">
        <v>13.0</v>
      </c>
      <c r="M6" s="3">
        <f t="shared" si="1"/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1</v>
      </c>
      <c r="B1" s="1" t="s">
        <v>3</v>
      </c>
      <c r="C1" s="1" t="s">
        <v>4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11</v>
      </c>
    </row>
    <row r="2">
      <c r="A2" s="2" t="s">
        <v>22</v>
      </c>
      <c r="B2" s="3">
        <v>12.0</v>
      </c>
      <c r="C2" s="4">
        <v>8.0</v>
      </c>
      <c r="D2" s="3"/>
      <c r="E2" s="3"/>
      <c r="F2" s="3"/>
      <c r="G2" s="3"/>
      <c r="H2" s="3"/>
      <c r="I2" s="3">
        <f t="shared" ref="I2:I4" si="1">IF(COUNT(D2:H2)&gt;0, SUM(D2:H2), 0)</f>
        <v>0</v>
      </c>
    </row>
    <row r="3">
      <c r="A3" s="2" t="s">
        <v>29</v>
      </c>
      <c r="B3" s="3">
        <v>20.0</v>
      </c>
      <c r="C3" s="4">
        <v>15.0</v>
      </c>
      <c r="D3" s="3"/>
      <c r="E3" s="3"/>
      <c r="F3" s="3"/>
      <c r="G3" s="3"/>
      <c r="H3" s="3"/>
      <c r="I3" s="3">
        <f t="shared" si="1"/>
        <v>0</v>
      </c>
    </row>
    <row r="4">
      <c r="A4" s="2" t="s">
        <v>35</v>
      </c>
      <c r="B4" s="3">
        <v>20.0</v>
      </c>
      <c r="C4" s="4">
        <v>16.0</v>
      </c>
      <c r="D4" s="3"/>
      <c r="E4" s="3"/>
      <c r="F4" s="3"/>
      <c r="G4" s="3"/>
      <c r="H4" s="3"/>
      <c r="I4" s="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5" t="s">
        <v>27</v>
      </c>
      <c r="B1" s="5" t="s">
        <v>28</v>
      </c>
      <c r="C1" s="5" t="s">
        <v>32</v>
      </c>
      <c r="D1" s="5" t="s">
        <v>33</v>
      </c>
      <c r="E1" s="5" t="s">
        <v>34</v>
      </c>
      <c r="F1" s="5" t="s">
        <v>36</v>
      </c>
      <c r="G1" s="5" t="s">
        <v>37</v>
      </c>
      <c r="H1" s="5" t="s">
        <v>38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46</v>
      </c>
      <c r="N1" s="5" t="s">
        <v>47</v>
      </c>
      <c r="O1" s="5" t="s">
        <v>49</v>
      </c>
      <c r="P1" s="5" t="s">
        <v>50</v>
      </c>
    </row>
    <row r="2" ht="27.75" customHeight="1">
      <c r="A2" s="6" t="s">
        <v>52</v>
      </c>
      <c r="B2" s="7">
        <f t="shared" ref="B2:C2" si="1">IFERROR(SUM(B3:B17), 0)</f>
        <v>269</v>
      </c>
      <c r="C2" s="7">
        <f t="shared" si="1"/>
        <v>401</v>
      </c>
      <c r="D2" s="8">
        <f t="shared" ref="D2:D17" si="3">IF(AND(ISNUMBER(C2), C2&gt;0, ISNUMBER(B2)), B2/C2, 0)</f>
        <v>0.6708229426</v>
      </c>
      <c r="E2" s="8">
        <f t="shared" ref="E2:P2" si="2">IFERROR(AVERAGEIF(E3:E17, "&gt;0"), 0)</f>
        <v>0.5920431018</v>
      </c>
      <c r="F2" s="8">
        <f t="shared" si="2"/>
        <v>0.7287345069</v>
      </c>
      <c r="G2" s="8">
        <f t="shared" si="2"/>
        <v>0.5969634231</v>
      </c>
      <c r="H2" s="8">
        <f t="shared" si="2"/>
        <v>0.4621212121</v>
      </c>
      <c r="I2" s="8">
        <f t="shared" si="2"/>
        <v>0.4797336721</v>
      </c>
      <c r="J2" s="8">
        <f t="shared" si="2"/>
        <v>0.6129149947</v>
      </c>
      <c r="K2" s="8">
        <f t="shared" si="2"/>
        <v>0.6095348741</v>
      </c>
      <c r="L2" s="8">
        <f t="shared" si="2"/>
        <v>0.6519576031</v>
      </c>
      <c r="M2" s="8">
        <f t="shared" si="2"/>
        <v>0.740264937</v>
      </c>
      <c r="N2" s="8">
        <f t="shared" si="2"/>
        <v>0.6325078081</v>
      </c>
      <c r="O2" s="8">
        <f t="shared" si="2"/>
        <v>0.6343497083</v>
      </c>
      <c r="P2" s="8">
        <f t="shared" si="2"/>
        <v>0.6418308873</v>
      </c>
    </row>
    <row r="3" ht="21.75" customHeight="1">
      <c r="A3" s="9" t="s">
        <v>12</v>
      </c>
      <c r="B3" s="10">
        <f>'6º ao 9º EFAF'!C2</f>
        <v>26</v>
      </c>
      <c r="C3" s="10">
        <f>'6º ao 9º EFAF'!B2</f>
        <v>29</v>
      </c>
      <c r="D3" s="11">
        <f t="shared" si="3"/>
        <v>0.8965517241</v>
      </c>
      <c r="E3" s="12" t="s">
        <v>56</v>
      </c>
      <c r="F3" s="13">
        <f>IF(AND(ISNUMBER(B3), B3&gt;0, ISNUMBER('6º ao 9º EFAF'!G2)), ('6º ao 9º EFAF'!G2/(B3*3)), 0)</f>
        <v>0.5512820513</v>
      </c>
      <c r="G3" s="12" t="s">
        <v>56</v>
      </c>
      <c r="H3" s="12" t="s">
        <v>56</v>
      </c>
      <c r="I3" s="12" t="s">
        <v>56</v>
      </c>
      <c r="J3" s="13">
        <f>IF(AND(ISNUMBER(B3), B3&gt;0, ISNUMBER('6º ao 9º EFAF'!I2)), ('6º ao 9º EFAF'!I2/(B3*3)), 0)</f>
        <v>0.6923076923</v>
      </c>
      <c r="K3" s="13">
        <f>IF(AND(ISNUMBER(B3), B3&gt;0, ISNUMBER('6º ao 9º EFAF'!H2)), ('6º ao 9º EFAF'!H2/(B3*3)), 0)</f>
        <v>0.2307692308</v>
      </c>
      <c r="L3" s="13">
        <f>IF(AND(ISNUMBER(B3), B3&gt;0, ISNUMBER('6º ao 9º EFAF'!F2)), ('6º ao 9º EFAF'!F2/(B3*3)), 0)</f>
        <v>0.7307692308</v>
      </c>
      <c r="M3" s="13">
        <f>IF(AND(ISNUMBER(B3), B3&gt;0, ISNUMBER('6º ao 9º EFAF'!D2)), ('6º ao 9º EFAF'!D2/(B3*4)), 0)</f>
        <v>0.6538461538</v>
      </c>
      <c r="N3" s="13">
        <f>IF(AND(ISNUMBER(B3), B3&gt;0, ISNUMBER('6º ao 9º EFAF'!E2)), ('6º ao 9º EFAF'!E2/(B3*4)), 0)</f>
        <v>0.6442307692</v>
      </c>
      <c r="O3" s="12" t="s">
        <v>56</v>
      </c>
      <c r="P3" s="14">
        <f t="shared" ref="P3:P17" si="4">IFERROR(AVERAGEIF(E3:O3, "&gt;0"), 0)</f>
        <v>0.5838675214</v>
      </c>
    </row>
    <row r="4" ht="21.75" customHeight="1">
      <c r="A4" s="9" t="s">
        <v>30</v>
      </c>
      <c r="B4" s="10">
        <f>'6º ao 9º EFAF'!C3</f>
        <v>22</v>
      </c>
      <c r="C4" s="10">
        <f>'6º ao 9º EFAF'!B3</f>
        <v>32</v>
      </c>
      <c r="D4" s="11">
        <f t="shared" si="3"/>
        <v>0.6875</v>
      </c>
      <c r="E4" s="12" t="s">
        <v>56</v>
      </c>
      <c r="F4" s="13">
        <f>IF(AND(ISNUMBER(B4), B4&gt;0, ISNUMBER('6º ao 9º EFAF'!G3)), ('6º ao 9º EFAF'!G3/(B4*3)), 0)</f>
        <v>0.7424242424</v>
      </c>
      <c r="G4" s="12" t="s">
        <v>56</v>
      </c>
      <c r="H4" s="12" t="s">
        <v>56</v>
      </c>
      <c r="I4" s="12" t="s">
        <v>56</v>
      </c>
      <c r="J4" s="13">
        <f>IF(AND(ISNUMBER(B4), B4&gt;0, ISNUMBER('6º ao 9º EFAF'!I3)), ('6º ao 9º EFAF'!I3/(B4*3)), 0)</f>
        <v>0.6666666667</v>
      </c>
      <c r="K4" s="13">
        <f>IF(AND(ISNUMBER(B4), B4&gt;0, ISNUMBER('6º ao 9º EFAF'!H3)), ('6º ao 9º EFAF'!H3/(B4*3)), 0)</f>
        <v>0.5909090909</v>
      </c>
      <c r="L4" s="13">
        <f>IF(AND(ISNUMBER(B4), B4&gt;0, ISNUMBER('6º ao 9º EFAF'!F3)), ('6º ao 9º EFAF'!F3/(B4*3)), 0)</f>
        <v>0.7878787879</v>
      </c>
      <c r="M4" s="13">
        <f>IF(AND(ISNUMBER(B4), B4&gt;0, ISNUMBER('6º ao 9º EFAF'!D3)), ('6º ao 9º EFAF'!D3/(B4*4)), 0)</f>
        <v>0.7159090909</v>
      </c>
      <c r="N4" s="13">
        <f>IF(AND(ISNUMBER(B4), B4&gt;0, ISNUMBER('6º ao 9º EFAF'!E3)), ('6º ao 9º EFAF'!E3/(B4*4)), 0)</f>
        <v>0.5681818182</v>
      </c>
      <c r="O4" s="12" t="s">
        <v>56</v>
      </c>
      <c r="P4" s="14">
        <f t="shared" si="4"/>
        <v>0.6786616162</v>
      </c>
    </row>
    <row r="5" ht="21.75" customHeight="1">
      <c r="A5" s="9" t="s">
        <v>39</v>
      </c>
      <c r="B5" s="10">
        <f>'6º ao 9º EFAF'!C4</f>
        <v>20</v>
      </c>
      <c r="C5" s="10">
        <f>'6º ao 9º EFAF'!B4</f>
        <v>29</v>
      </c>
      <c r="D5" s="11">
        <f t="shared" si="3"/>
        <v>0.6896551724</v>
      </c>
      <c r="E5" s="12" t="s">
        <v>56</v>
      </c>
      <c r="F5" s="13">
        <f>IF(AND(ISNUMBER(B5), B5&gt;0, ISNUMBER('6º ao 9º EFAF'!G4)), ('6º ao 9º EFAF'!G4/(B5*3)), 0)</f>
        <v>0.7333333333</v>
      </c>
      <c r="G5" s="12" t="s">
        <v>56</v>
      </c>
      <c r="H5" s="12" t="s">
        <v>56</v>
      </c>
      <c r="I5" s="12" t="s">
        <v>56</v>
      </c>
      <c r="J5" s="13">
        <f>IF(AND(ISNUMBER(B5), B5&gt;0, ISNUMBER('6º ao 9º EFAF'!I4)), ('6º ao 9º EFAF'!I4/(B5*3)), 0)</f>
        <v>0.6333333333</v>
      </c>
      <c r="K5" s="13">
        <f>IF(AND(ISNUMBER(B5), B5&gt;0, ISNUMBER('6º ao 9º EFAF'!H4)), ('6º ao 9º EFAF'!H4/(B5*3)), 0)</f>
        <v>0.6</v>
      </c>
      <c r="L5" s="13">
        <f>IF(AND(ISNUMBER(B5), B5&gt;0, ISNUMBER('6º ao 9º EFAF'!F4)), ('6º ao 9º EFAF'!F4/(B5*3)), 0)</f>
        <v>0.6833333333</v>
      </c>
      <c r="M5" s="13">
        <f>IF(AND(ISNUMBER(B5), B5&gt;0, ISNUMBER('6º ao 9º EFAF'!D4)), ('6º ao 9º EFAF'!D4/(B5*4)), 0)</f>
        <v>0.5375</v>
      </c>
      <c r="N5" s="13">
        <f>IF(AND(ISNUMBER(B5), B5&gt;0, ISNUMBER('6º ao 9º EFAF'!E4)), ('6º ao 9º EFAF'!E4/(B5*4)), 0)</f>
        <v>0.5875</v>
      </c>
      <c r="O5" s="12" t="s">
        <v>56</v>
      </c>
      <c r="P5" s="14">
        <f t="shared" si="4"/>
        <v>0.6291666667</v>
      </c>
    </row>
    <row r="6" ht="21.75" customHeight="1">
      <c r="A6" s="9" t="s">
        <v>45</v>
      </c>
      <c r="B6" s="10">
        <f>'6º ao 9º EFAF'!C5</f>
        <v>12</v>
      </c>
      <c r="C6" s="10">
        <f>'6º ao 9º EFAF'!B5</f>
        <v>24</v>
      </c>
      <c r="D6" s="11">
        <f t="shared" si="3"/>
        <v>0.5</v>
      </c>
      <c r="E6" s="12" t="s">
        <v>56</v>
      </c>
      <c r="F6" s="13">
        <f>IF(AND(ISNUMBER(B6), B6&gt;0, ISNUMBER('6º ao 9º EFAF'!G5)), ('6º ao 9º EFAF'!G5/(B6*3)), 0)</f>
        <v>0.5833333333</v>
      </c>
      <c r="G6" s="12" t="s">
        <v>56</v>
      </c>
      <c r="H6" s="12" t="s">
        <v>56</v>
      </c>
      <c r="I6" s="12" t="s">
        <v>56</v>
      </c>
      <c r="J6" s="13">
        <f>IF(AND(ISNUMBER(B6), B6&gt;0, ISNUMBER('6º ao 9º EFAF'!I5)), ('6º ao 9º EFAF'!I5/(B6*3)), 0)</f>
        <v>0.6111111111</v>
      </c>
      <c r="K6" s="13">
        <f>IF(AND(ISNUMBER(B6), B6&gt;0, ISNUMBER('6º ao 9º EFAF'!H5)), ('6º ao 9º EFAF'!H5/(B6*3)), 0)</f>
        <v>0.6388888889</v>
      </c>
      <c r="L6" s="13">
        <f>IF(AND(ISNUMBER(B6), B6&gt;0, ISNUMBER('6º ao 9º EFAF'!F5)), ('6º ao 9º EFAF'!F5/(B6*3)), 0)</f>
        <v>0.6666666667</v>
      </c>
      <c r="M6" s="13">
        <f>IF(AND(ISNUMBER(B6), B6&gt;0, ISNUMBER('6º ao 9º EFAF'!D5)), ('6º ao 9º EFAF'!D5/(B6*4)), 0)</f>
        <v>0.9166666667</v>
      </c>
      <c r="N6" s="13">
        <f>IF(AND(ISNUMBER(B6), B6&gt;0, ISNUMBER('6º ao 9º EFAF'!E5)), ('6º ao 9º EFAF'!E5/(B6*4)), 0)</f>
        <v>0.3958333333</v>
      </c>
      <c r="O6" s="12" t="s">
        <v>56</v>
      </c>
      <c r="P6" s="14">
        <f t="shared" si="4"/>
        <v>0.6354166667</v>
      </c>
    </row>
    <row r="7" ht="21.75" customHeight="1">
      <c r="A7" s="9" t="s">
        <v>51</v>
      </c>
      <c r="B7" s="10">
        <f>'6º ao 9º EFAF'!C6</f>
        <v>20</v>
      </c>
      <c r="C7" s="10">
        <f>'6º ao 9º EFAF'!B6</f>
        <v>29</v>
      </c>
      <c r="D7" s="11">
        <f t="shared" si="3"/>
        <v>0.6896551724</v>
      </c>
      <c r="E7" s="12" t="s">
        <v>56</v>
      </c>
      <c r="F7" s="13">
        <f>IF(AND(ISNUMBER(B7), B7&gt;0, ISNUMBER('6º ao 9º EFAF'!G6)), ('6º ao 9º EFAF'!G6/(B7*3)), 0)</f>
        <v>0.85</v>
      </c>
      <c r="G7" s="12" t="s">
        <v>56</v>
      </c>
      <c r="H7" s="12" t="s">
        <v>56</v>
      </c>
      <c r="I7" s="12" t="s">
        <v>56</v>
      </c>
      <c r="J7" s="13">
        <f>IF(AND(ISNUMBER(B7), B7&gt;0, ISNUMBER('6º ao 9º EFAF'!I6)), ('6º ao 9º EFAF'!I6/(B7*3)), 0)</f>
        <v>0.8166666667</v>
      </c>
      <c r="K7" s="13">
        <f>IF(AND(ISNUMBER(B7), B7&gt;0, ISNUMBER('6º ao 9º EFAF'!H6)), ('6º ao 9º EFAF'!H6/(B7*3)), 0)</f>
        <v>0.7833333333</v>
      </c>
      <c r="L7" s="13">
        <f>IF(AND(ISNUMBER(B7), B7&gt;0, ISNUMBER('6º ao 9º EFAF'!F6)), ('6º ao 9º EFAF'!F6/(B7*3)), 0)</f>
        <v>0.8</v>
      </c>
      <c r="M7" s="13">
        <f>IF(AND(ISNUMBER(B7), B7&gt;0, ISNUMBER('6º ao 9º EFAF'!D6)), ('6º ao 9º EFAF'!D6/(B7*4)), 0)</f>
        <v>0.7375</v>
      </c>
      <c r="N7" s="13">
        <f>IF(AND(ISNUMBER(B7), B7&gt;0, ISNUMBER('6º ao 9º EFAF'!E6)), ('6º ao 9º EFAF'!E6/(B7*4)), 0)</f>
        <v>0.6125</v>
      </c>
      <c r="O7" s="12" t="s">
        <v>56</v>
      </c>
      <c r="P7" s="14">
        <f t="shared" si="4"/>
        <v>0.7666666667</v>
      </c>
    </row>
    <row r="8" ht="21.75" customHeight="1">
      <c r="A8" s="9" t="s">
        <v>53</v>
      </c>
      <c r="B8" s="10">
        <f>'6º ao 9º EFAF'!C7</f>
        <v>21</v>
      </c>
      <c r="C8" s="10">
        <f>'6º ao 9º EFAF'!B7</f>
        <v>32</v>
      </c>
      <c r="D8" s="11">
        <f t="shared" si="3"/>
        <v>0.65625</v>
      </c>
      <c r="E8" s="12" t="s">
        <v>56</v>
      </c>
      <c r="F8" s="13">
        <f>IF(AND(ISNUMBER(B8), B8&gt;0, ISNUMBER('6º ao 9º EFAF'!G7)), ('6º ao 9º EFAF'!G7/(B8*3)), 0)</f>
        <v>0.746031746</v>
      </c>
      <c r="G8" s="12" t="s">
        <v>56</v>
      </c>
      <c r="H8" s="12" t="s">
        <v>56</v>
      </c>
      <c r="I8" s="12" t="s">
        <v>56</v>
      </c>
      <c r="J8" s="13">
        <f>IF(AND(ISNUMBER(B8), B8&gt;0, ISNUMBER('6º ao 9º EFAF'!I7)), ('6º ao 9º EFAF'!I7/(B8*3)), 0)</f>
        <v>0.6984126984</v>
      </c>
      <c r="K8" s="13">
        <f>IF(AND(ISNUMBER(B8), B8&gt;0, ISNUMBER('6º ao 9º EFAF'!H7)), ('6º ao 9º EFAF'!H7/(B8*3)), 0)</f>
        <v>0.5238095238</v>
      </c>
      <c r="L8" s="13">
        <f>IF(AND(ISNUMBER(B8), B8&gt;0, ISNUMBER('6º ao 9º EFAF'!F7)), ('6º ao 9º EFAF'!F7/(B8*3)), 0)</f>
        <v>0.7301587302</v>
      </c>
      <c r="M8" s="13">
        <f>IF(AND(ISNUMBER(B8), B8&gt;0, ISNUMBER('6º ao 9º EFAF'!D7)), ('6º ao 9º EFAF'!D7/(B8*4)), 0)</f>
        <v>0.6904761905</v>
      </c>
      <c r="N8" s="13">
        <f>IF(AND(ISNUMBER(B8), B8&gt;0, ISNUMBER('6º ao 9º EFAF'!E7)), ('6º ao 9º EFAF'!E7/(B8*4)), 0)</f>
        <v>0.4761904762</v>
      </c>
      <c r="O8" s="12" t="s">
        <v>56</v>
      </c>
      <c r="P8" s="14">
        <f t="shared" si="4"/>
        <v>0.6441798942</v>
      </c>
    </row>
    <row r="9" ht="21.75" customHeight="1">
      <c r="A9" s="9" t="s">
        <v>55</v>
      </c>
      <c r="B9" s="10">
        <f>'6º ao 9º EFAF'!C8</f>
        <v>19</v>
      </c>
      <c r="C9" s="10">
        <f>'6º ao 9º EFAF'!B8</f>
        <v>30</v>
      </c>
      <c r="D9" s="11">
        <f t="shared" si="3"/>
        <v>0.6333333333</v>
      </c>
      <c r="E9" s="12" t="s">
        <v>56</v>
      </c>
      <c r="F9" s="13">
        <f>IF(AND(ISNUMBER(B9), B9&gt;0, ISNUMBER('6º ao 9º EFAF'!G8)), ('6º ao 9º EFAF'!G8/(B9*3)), 0)</f>
        <v>0.8947368421</v>
      </c>
      <c r="G9" s="12" t="s">
        <v>56</v>
      </c>
      <c r="H9" s="12" t="s">
        <v>56</v>
      </c>
      <c r="I9" s="12" t="s">
        <v>56</v>
      </c>
      <c r="J9" s="13">
        <f>IF(AND(ISNUMBER(B9), B9&gt;0, ISNUMBER('6º ao 9º EFAF'!I8)), ('6º ao 9º EFAF'!I8/(B9*3)), 0)</f>
        <v>0.7543859649</v>
      </c>
      <c r="K9" s="13">
        <f>IF(AND(ISNUMBER(B9), B9&gt;0, ISNUMBER('6º ao 9º EFAF'!H8)), ('6º ao 9º EFAF'!H8/(B9*3)), 0)</f>
        <v>0.5614035088</v>
      </c>
      <c r="L9" s="13">
        <f>IF(AND(ISNUMBER(B9), B9&gt;0, ISNUMBER('6º ao 9º EFAF'!F8)), ('6º ao 9º EFAF'!F8/(B9*3)), 0)</f>
        <v>0.7894736842</v>
      </c>
      <c r="M9" s="13">
        <f>IF(AND(ISNUMBER(B9), B9&gt;0, ISNUMBER('6º ao 9º EFAF'!D8)), ('6º ao 9º EFAF'!D8/(B9*4)), 0)</f>
        <v>0.7236842105</v>
      </c>
      <c r="N9" s="13">
        <f>IF(AND(ISNUMBER(B9), B9&gt;0, ISNUMBER('6º ao 9º EFAF'!E8)), ('6º ao 9º EFAF'!E8/(B9*4)), 0)</f>
        <v>0.6578947368</v>
      </c>
      <c r="O9" s="12" t="s">
        <v>56</v>
      </c>
      <c r="P9" s="14">
        <f t="shared" si="4"/>
        <v>0.7302631579</v>
      </c>
    </row>
    <row r="10" ht="21.75" customHeight="1">
      <c r="A10" s="9" t="s">
        <v>26</v>
      </c>
      <c r="B10" s="10">
        <f>'1ª e 2ª EM'!C2</f>
        <v>11</v>
      </c>
      <c r="C10" s="10">
        <f>'1ª e 2ª EM'!B2</f>
        <v>20</v>
      </c>
      <c r="D10" s="11">
        <f t="shared" si="3"/>
        <v>0.55</v>
      </c>
      <c r="E10" s="13">
        <f>IF(AND(ISNUMBER(B10), B10&gt;0, ISNUMBER('1ª e 2ª EM'!H2)), ('1ª e 2ª EM'!H2/(B10*2)), 0)</f>
        <v>0.5909090909</v>
      </c>
      <c r="F10" s="12" t="s">
        <v>56</v>
      </c>
      <c r="G10" s="12" t="s">
        <v>56</v>
      </c>
      <c r="H10" s="13">
        <f>IF(AND(ISNUMBER(B10), B10&gt;0, ISNUMBER('1ª e 2ª EM'!K2)), ('1ª e 2ª EM'!K2/(B10*2)), 0)</f>
        <v>0.5909090909</v>
      </c>
      <c r="I10" s="13">
        <f>IF(AND(ISNUMBER(B10), B10&gt;0, ISNUMBER('1ª e 2ª EM'!F2)), ('1ª e 2ª EM'!F2/(B10*2)), 0)</f>
        <v>0.3181818182</v>
      </c>
      <c r="J10" s="13">
        <f>IF(AND(ISNUMBER(B10), B10&gt;0, ISNUMBER('1ª e 2ª EM'!J2)), ('1ª e 2ª EM'!J2/(B10*2)), 0)</f>
        <v>0.2727272727</v>
      </c>
      <c r="K10" s="13">
        <f>IF(AND(ISNUMBER(B10), B10&gt;0, ISNUMBER('1ª e 2ª EM'!I2)), ('1ª e 2ª EM'!I2/(B10*2)), 0)</f>
        <v>0.7727272727</v>
      </c>
      <c r="L10" s="13">
        <f>IF(AND(ISNUMBER(B10), B10&gt;0, ISNUMBER('1ª e 2ª EM'!L2)), ('1ª e 2ª EM'!L2/(B10*2)), 0)</f>
        <v>0.3181818182</v>
      </c>
      <c r="M10" s="13">
        <f>IF(AND(ISNUMBER(B10), B10&gt;0, ISNUMBER('1ª e 2ª EM'!D2)), ('1ª e 2ª EM'!D2/(B10*4)), 0)</f>
        <v>0.5681818182</v>
      </c>
      <c r="N10" s="13">
        <f>IF(AND(ISNUMBER(B10), B10&gt;0, ISNUMBER('1ª e 2ª EM'!E2)), ('1ª e 2ª EM'!E2/(B10*4)), 0)</f>
        <v>0.5681818182</v>
      </c>
      <c r="O10" s="13">
        <f>IF(AND(ISNUMBER(B10), B10&gt;0, ISNUMBER('1ª e 2ª EM'!G2)), ('1ª e 2ª EM'!G2/(B10*2)), 0)</f>
        <v>0.5454545455</v>
      </c>
      <c r="P10" s="14">
        <f t="shared" si="4"/>
        <v>0.5050505051</v>
      </c>
    </row>
    <row r="11" ht="21.75" customHeight="1">
      <c r="A11" s="9" t="s">
        <v>31</v>
      </c>
      <c r="B11" s="10">
        <f>'1ª e 2ª EM'!C3</f>
        <v>21</v>
      </c>
      <c r="C11" s="10">
        <f>'1ª e 2ª EM'!B3</f>
        <v>33</v>
      </c>
      <c r="D11" s="11">
        <f t="shared" si="3"/>
        <v>0.6363636364</v>
      </c>
      <c r="E11" s="13">
        <f>IF(AND(ISNUMBER(B11), B11&gt;0, ISNUMBER('1ª e 2ª EM'!H3)), ('1ª e 2ª EM'!H3/(B11*2)), 0)</f>
        <v>0.4761904762</v>
      </c>
      <c r="F11" s="12" t="s">
        <v>56</v>
      </c>
      <c r="G11" s="13">
        <f>IF(AND(ISNUMBER(B11), B11&gt;0, ISNUMBER('1ª e 2ª EM'!K3)), ('1ª e 2ª EM'!K3/(B11*2)), 0)</f>
        <v>0.5952380952</v>
      </c>
      <c r="H11" s="12" t="s">
        <v>56</v>
      </c>
      <c r="I11" s="13">
        <f>IF(AND(ISNUMBER(B11), B11&gt;0, ISNUMBER('1ª e 2ª EM'!F3)), ('1ª e 2ª EM'!F3/(B11*2)), 0)</f>
        <v>0.7380952381</v>
      </c>
      <c r="J11" s="13">
        <f>IF(AND(ISNUMBER(B11), B11&gt;0, ISNUMBER('1ª e 2ª EM'!J3)), ('1ª e 2ª EM'!J3/(B11*2)), 0)</f>
        <v>0.7619047619</v>
      </c>
      <c r="K11" s="13">
        <f>IF(AND(ISNUMBER(B11), B11&gt;0, ISNUMBER('1ª e 2ª EM'!I3)), ('1ª e 2ª EM'!I3/(B11*2)), 0)</f>
        <v>0.6904761905</v>
      </c>
      <c r="L11" s="13">
        <f>IF(AND(ISNUMBER(B11), B11&gt;0, ISNUMBER('1ª e 2ª EM'!L3)), ('1ª e 2ª EM'!L3/(B11*2)), 0)</f>
        <v>0.6666666667</v>
      </c>
      <c r="M11" s="13">
        <f>IF(AND(ISNUMBER(B11), B11&gt;0, ISNUMBER('1ª e 2ª EM'!D3)), ('1ª e 2ª EM'!D3/(B11*4)), 0)</f>
        <v>0.8095238095</v>
      </c>
      <c r="N11" s="13">
        <f>IF(AND(ISNUMBER(B11), B11&gt;0, ISNUMBER('1ª e 2ª EM'!E3)), ('1ª e 2ª EM'!E3/(B11*4)), 0)</f>
        <v>0.9047619048</v>
      </c>
      <c r="O11" s="13">
        <f>IF(AND(ISNUMBER(B11), B11&gt;0, ISNUMBER('1ª e 2ª EM'!G3)), ('1ª e 2ª EM'!G3/(B11*2)), 0)</f>
        <v>0.7857142857</v>
      </c>
      <c r="P11" s="14">
        <f t="shared" si="4"/>
        <v>0.7142857143</v>
      </c>
    </row>
    <row r="12" ht="21.75" customHeight="1">
      <c r="A12" s="9" t="s">
        <v>40</v>
      </c>
      <c r="B12" s="10">
        <f>'1ª e 2ª EM'!C4</f>
        <v>23</v>
      </c>
      <c r="C12" s="10">
        <f>'1ª e 2ª EM'!B4</f>
        <v>36</v>
      </c>
      <c r="D12" s="11">
        <f t="shared" si="3"/>
        <v>0.6388888889</v>
      </c>
      <c r="E12" s="13">
        <f>IF(AND(ISNUMBER(B12), B12&gt;0, ISNUMBER('1ª e 2ª EM'!H4)), ('1ª e 2ª EM'!H4/(B12*2)), 0)</f>
        <v>0.652173913</v>
      </c>
      <c r="F12" s="12" t="s">
        <v>56</v>
      </c>
      <c r="G12" s="13">
        <f>IF(AND(ISNUMBER(B12), B12&gt;0, ISNUMBER('1ª e 2ª EM'!K4)), ('1ª e 2ª EM'!K4/(B12*2)), 0)</f>
        <v>0.652173913</v>
      </c>
      <c r="H12" s="12" t="s">
        <v>56</v>
      </c>
      <c r="I12" s="13">
        <f>IF(AND(ISNUMBER(B12), B12&gt;0, ISNUMBER('1ª e 2ª EM'!F4)), ('1ª e 2ª EM'!F4/(B12*2)), 0)</f>
        <v>0.652173913</v>
      </c>
      <c r="J12" s="13">
        <f>IF(AND(ISNUMBER(B12), B12&gt;0, ISNUMBER('1ª e 2ª EM'!J4)), ('1ª e 2ª EM'!J4/(B12*2)), 0)</f>
        <v>0.7391304348</v>
      </c>
      <c r="K12" s="13">
        <f>IF(AND(ISNUMBER(B12), B12&gt;0, ISNUMBER('1ª e 2ª EM'!I4)), ('1ª e 2ª EM'!I4/(B12*2)), 0)</f>
        <v>0.3913043478</v>
      </c>
      <c r="L12" s="13">
        <f>IF(AND(ISNUMBER(B12), B12&gt;0, ISNUMBER('1ª e 2ª EM'!L4)), ('1ª e 2ª EM'!L4/(B12*2)), 0)</f>
        <v>0.4565217391</v>
      </c>
      <c r="M12" s="13">
        <f>IF(AND(ISNUMBER(B12), B12&gt;0, ISNUMBER('1ª e 2ª EM'!D4)), ('1ª e 2ª EM'!D4/(B12*4)), 0)</f>
        <v>0.8260869565</v>
      </c>
      <c r="N12" s="13">
        <f>IF(AND(ISNUMBER(B12), B12&gt;0, ISNUMBER('1ª e 2ª EM'!E4)), ('1ª e 2ª EM'!E4/(B12*4)), 0)</f>
        <v>0.8369565217</v>
      </c>
      <c r="O12" s="13">
        <f>IF(AND(ISNUMBER(B12), B12&gt;0, ISNUMBER('1ª e 2ª EM'!G4)), ('1ª e 2ª EM'!G4/(B12*2)), 0)</f>
        <v>0.5869565217</v>
      </c>
      <c r="P12" s="14">
        <f t="shared" si="4"/>
        <v>0.6437198068</v>
      </c>
    </row>
    <row r="13" ht="21.75" customHeight="1">
      <c r="A13" s="9" t="s">
        <v>48</v>
      </c>
      <c r="B13" s="10">
        <f>'1ª e 2ª EM'!C5</f>
        <v>23</v>
      </c>
      <c r="C13" s="10">
        <f>'1ª e 2ª EM'!B5</f>
        <v>35</v>
      </c>
      <c r="D13" s="11">
        <f t="shared" si="3"/>
        <v>0.6571428571</v>
      </c>
      <c r="E13" s="13">
        <f>IF(AND(ISNUMBER(B13), B13&gt;0, ISNUMBER('1ª e 2ª EM'!H5)), ('1ª e 2ª EM'!H5/(B13*2)), 0)</f>
        <v>0.7826086957</v>
      </c>
      <c r="F13" s="12" t="s">
        <v>56</v>
      </c>
      <c r="G13" s="13">
        <f>IF(AND(ISNUMBER(B13), B13&gt;0, ISNUMBER('1ª e 2ª EM'!K5)), ('1ª e 2ª EM'!K5/(B13*2)), 0)</f>
        <v>0.5434782609</v>
      </c>
      <c r="H13" s="12" t="s">
        <v>56</v>
      </c>
      <c r="I13" s="13">
        <f>IF(AND(ISNUMBER(B13), B13&gt;0, ISNUMBER('1ª e 2ª EM'!F5)), ('1ª e 2ª EM'!F5/(B13*2)), 0)</f>
        <v>0.5652173913</v>
      </c>
      <c r="J13" s="13">
        <f>IF(AND(ISNUMBER(B13), B13&gt;0, ISNUMBER('1ª e 2ª EM'!J5)), ('1ª e 2ª EM'!J5/(B13*2)), 0)</f>
        <v>0.5</v>
      </c>
      <c r="K13" s="13">
        <f>IF(AND(ISNUMBER(B13), B13&gt;0, ISNUMBER('1ª e 2ª EM'!I5)), ('1ª e 2ª EM'!I5/(B13*2)), 0)</f>
        <v>0.7391304348</v>
      </c>
      <c r="L13" s="13">
        <f>IF(AND(ISNUMBER(B13), B13&gt;0, ISNUMBER('1ª e 2ª EM'!L5)), ('1ª e 2ª EM'!L5/(B13*2)), 0)</f>
        <v>0.652173913</v>
      </c>
      <c r="M13" s="13">
        <f>IF(AND(ISNUMBER(B13), B13&gt;0, ISNUMBER('1ª e 2ª EM'!D5)), ('1ª e 2ª EM'!D5/(B13*4)), 0)</f>
        <v>0.8913043478</v>
      </c>
      <c r="N13" s="13">
        <f>IF(AND(ISNUMBER(B13), B13&gt;0, ISNUMBER('1ª e 2ª EM'!E5)), ('1ª e 2ª EM'!E5/(B13*4)), 0)</f>
        <v>0.8586956522</v>
      </c>
      <c r="O13" s="13">
        <f>IF(AND(ISNUMBER(B13), B13&gt;0, ISNUMBER('1ª e 2ª EM'!G5)), ('1ª e 2ª EM'!G5/(B13*2)), 0)</f>
        <v>0.5869565217</v>
      </c>
      <c r="P13" s="14">
        <f t="shared" si="4"/>
        <v>0.6799516908</v>
      </c>
    </row>
    <row r="14" ht="21.75" customHeight="1">
      <c r="A14" s="9" t="s">
        <v>54</v>
      </c>
      <c r="B14" s="10">
        <f>'1ª e 2ª EM'!C6</f>
        <v>12</v>
      </c>
      <c r="C14" s="10">
        <f>'1ª e 2ª EM'!B6</f>
        <v>20</v>
      </c>
      <c r="D14" s="11">
        <f t="shared" si="3"/>
        <v>0.6</v>
      </c>
      <c r="E14" s="13">
        <f>IF(AND(ISNUMBER(B14), B14&gt;0, ISNUMBER('1ª e 2ª EM'!H6)), ('1ª e 2ª EM'!H6/(B14*2)), 0)</f>
        <v>0.4583333333</v>
      </c>
      <c r="F14" s="12" t="s">
        <v>56</v>
      </c>
      <c r="G14" s="12" t="s">
        <v>56</v>
      </c>
      <c r="H14" s="13">
        <f>IF(AND(ISNUMBER(B14), B14&gt;0, ISNUMBER('1ª e 2ª EM'!K6)), ('1ª e 2ª EM'!K6/(B14*2)), 0)</f>
        <v>0.3333333333</v>
      </c>
      <c r="I14" s="13">
        <f>IF(AND(ISNUMBER(B14), B14&gt;0, ISNUMBER('1ª e 2ª EM'!F6)), ('1ª e 2ª EM'!F6/(B14*2)), 0)</f>
        <v>0.125</v>
      </c>
      <c r="J14" s="13">
        <f>IF(AND(ISNUMBER(B14), B14&gt;0, ISNUMBER('1ª e 2ª EM'!J6)), ('1ª e 2ª EM'!J6/(B14*2)), 0)</f>
        <v>0.2083333333</v>
      </c>
      <c r="K14" s="13">
        <f>IF(AND(ISNUMBER(B14), B14&gt;0, ISNUMBER('1ª e 2ª EM'!I6)), ('1ª e 2ª EM'!I6/(B14*2)), 0)</f>
        <v>0.7916666667</v>
      </c>
      <c r="L14" s="13">
        <f>IF(AND(ISNUMBER(B14), B14&gt;0, ISNUMBER('1ª e 2ª EM'!L6)), ('1ª e 2ª EM'!L6/(B14*2)), 0)</f>
        <v>0.5416666667</v>
      </c>
      <c r="M14" s="13">
        <f>IF(AND(ISNUMBER(B14), B14&gt;0, ISNUMBER('1ª e 2ª EM'!D6)), ('1ª e 2ª EM'!D6/(B14*4)), 0)</f>
        <v>0.8125</v>
      </c>
      <c r="N14" s="13">
        <f>IF(AND(ISNUMBER(B14), B14&gt;0, ISNUMBER('1ª e 2ª EM'!E6)), ('1ª e 2ª EM'!E6/(B14*4)), 0)</f>
        <v>0.4791666667</v>
      </c>
      <c r="O14" s="13">
        <f>IF(AND(ISNUMBER(B14), B14&gt;0, ISNUMBER('1ª e 2ª EM'!G6)), ('1ª e 2ª EM'!G6/(B14*2)), 0)</f>
        <v>0.6666666667</v>
      </c>
      <c r="P14" s="14">
        <f t="shared" si="4"/>
        <v>0.4907407407</v>
      </c>
    </row>
    <row r="15" ht="21.75" customHeight="1">
      <c r="A15" s="9" t="s">
        <v>22</v>
      </c>
      <c r="B15" s="10">
        <f>'3ª EM'!C2</f>
        <v>8</v>
      </c>
      <c r="C15" s="10">
        <f>'3ª EM'!B2</f>
        <v>12</v>
      </c>
      <c r="D15" s="11">
        <f t="shared" si="3"/>
        <v>0.6666666667</v>
      </c>
      <c r="E15" s="12" t="s">
        <v>56</v>
      </c>
      <c r="F15" s="12" t="s">
        <v>56</v>
      </c>
      <c r="G15" s="12" t="s">
        <v>56</v>
      </c>
      <c r="H15" s="12" t="s">
        <v>56</v>
      </c>
      <c r="I15" s="13">
        <f>IF(AND(ISNUMBER(B15), B15&gt;0, ISNUMBER('3ª EM'!F2)), ('3ª EM'!F2/(B15*4)), 0)</f>
        <v>0</v>
      </c>
      <c r="J15" s="12" t="s">
        <v>56</v>
      </c>
      <c r="K15" s="13">
        <f>IF(AND(ISNUMBER(B15), B15&gt;0, ISNUMBER('3ª EM'!G2)), ('3ª EM'!G2/(B15*4)), 0)</f>
        <v>0</v>
      </c>
      <c r="L15" s="13">
        <f>IF(AND(ISNUMBER(B15), B15&gt;0, ISNUMBER('3ª EM'!H2)), ('3ª EM'!H2/(B15*4)), 0)</f>
        <v>0</v>
      </c>
      <c r="M15" s="13">
        <f>IF(AND(ISNUMBER(B15), B15&gt;0, ISNUMBER('3ª EM'!D2)), ('3ª EM'!D2/(B15*5)), 0)</f>
        <v>0</v>
      </c>
      <c r="N15" s="13">
        <f>IF(AND(ISNUMBER(B15), B15&gt;0, ISNUMBER('3ª EM'!E2)), ('3ª EM'!E2/(B15*5)), 0)</f>
        <v>0</v>
      </c>
      <c r="O15" s="12" t="s">
        <v>56</v>
      </c>
      <c r="P15" s="14">
        <f t="shared" si="4"/>
        <v>0</v>
      </c>
    </row>
    <row r="16" ht="21.75" customHeight="1">
      <c r="A16" s="9" t="s">
        <v>29</v>
      </c>
      <c r="B16" s="10">
        <f>'3ª EM'!C3</f>
        <v>15</v>
      </c>
      <c r="C16" s="10">
        <f>'3ª EM'!B3</f>
        <v>20</v>
      </c>
      <c r="D16" s="11">
        <f t="shared" si="3"/>
        <v>0.75</v>
      </c>
      <c r="E16" s="12" t="s">
        <v>56</v>
      </c>
      <c r="F16" s="12" t="s">
        <v>56</v>
      </c>
      <c r="G16" s="12" t="s">
        <v>56</v>
      </c>
      <c r="H16" s="12" t="s">
        <v>56</v>
      </c>
      <c r="I16" s="13">
        <f>IF(AND(ISNUMBER(B16), B16&gt;0, ISNUMBER('3ª EM'!F3)), ('3ª EM'!F3/(B16*4)), 0)</f>
        <v>0</v>
      </c>
      <c r="J16" s="12" t="s">
        <v>56</v>
      </c>
      <c r="K16" s="13">
        <f>IF(AND(ISNUMBER(B16), B16&gt;0, ISNUMBER('3ª EM'!G3)), ('3ª EM'!G3/(B16*4)), 0)</f>
        <v>0</v>
      </c>
      <c r="L16" s="13">
        <f>IF(AND(ISNUMBER(B16), B16&gt;0, ISNUMBER('3ª EM'!H3)), ('3ª EM'!H3/(B16*4)), 0)</f>
        <v>0</v>
      </c>
      <c r="M16" s="13">
        <f>IF(AND(ISNUMBER(B16), B16&gt;0, ISNUMBER('3ª EM'!D3)), ('3ª EM'!D3/(B16*5)), 0)</f>
        <v>0</v>
      </c>
      <c r="N16" s="13">
        <f>IF(AND(ISNUMBER(B16), B16&gt;0, ISNUMBER('3ª EM'!E3)), ('3ª EM'!E3/(B16*5)), 0)</f>
        <v>0</v>
      </c>
      <c r="O16" s="12" t="s">
        <v>56</v>
      </c>
      <c r="P16" s="14">
        <f t="shared" si="4"/>
        <v>0</v>
      </c>
    </row>
    <row r="17" ht="21.75" customHeight="1">
      <c r="A17" s="9" t="s">
        <v>35</v>
      </c>
      <c r="B17" s="10">
        <f>'3ª EM'!C4</f>
        <v>16</v>
      </c>
      <c r="C17" s="10">
        <f>'3ª EM'!B4</f>
        <v>20</v>
      </c>
      <c r="D17" s="11">
        <f t="shared" si="3"/>
        <v>0.8</v>
      </c>
      <c r="E17" s="12" t="s">
        <v>56</v>
      </c>
      <c r="F17" s="12" t="s">
        <v>56</v>
      </c>
      <c r="G17" s="12" t="s">
        <v>56</v>
      </c>
      <c r="H17" s="12" t="s">
        <v>56</v>
      </c>
      <c r="I17" s="13">
        <f>IF(AND(ISNUMBER(B17), B17&gt;0, ISNUMBER('3ª EM'!F4)), ('3ª EM'!F4/(B17*4)), 0)</f>
        <v>0</v>
      </c>
      <c r="J17" s="12" t="s">
        <v>56</v>
      </c>
      <c r="K17" s="13">
        <f>IF(AND(ISNUMBER(B17), B17&gt;0, ISNUMBER('3ª EM'!G4)), ('3ª EM'!G4/(B17*4)), 0)</f>
        <v>0</v>
      </c>
      <c r="L17" s="13">
        <f>IF(AND(ISNUMBER(B17), B17&gt;0, ISNUMBER('3ª EM'!H4)), ('3ª EM'!H4/(B17*4)), 0)</f>
        <v>0</v>
      </c>
      <c r="M17" s="13">
        <f>IF(AND(ISNUMBER(B17), B17&gt;0, ISNUMBER('3ª EM'!D4)), ('3ª EM'!D4/(B17*5)), 0)</f>
        <v>0</v>
      </c>
      <c r="N17" s="13">
        <f>IF(AND(ISNUMBER(B17), B17&gt;0, ISNUMBER('3ª EM'!E4)), ('3ª EM'!E4/(B17*5)), 0)</f>
        <v>0</v>
      </c>
      <c r="O17" s="12" t="s">
        <v>56</v>
      </c>
      <c r="P17" s="14">
        <f t="shared" si="4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7">
    <cfRule type="cellIs" dxfId="0" priority="1" stopIfTrue="1" operator="between">
      <formula>0.50001</formula>
      <formula>1</formula>
    </cfRule>
  </conditionalFormatting>
  <conditionalFormatting sqref="E3:P17">
    <cfRule type="cellIs" dxfId="1" priority="2" stopIfTrue="1" operator="between">
      <formula>0.3</formula>
      <formula>0.5</formula>
    </cfRule>
  </conditionalFormatting>
  <conditionalFormatting sqref="E3:P17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