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5"/>
    <sheet state="visible" name="1ª e 2ª EM" sheetId="2" r:id="rId6"/>
    <sheet state="visible" name="3ª EM" sheetId="3" r:id="rId7"/>
    <sheet state="visible" name="Resultado automático" sheetId="4" r:id="rId8"/>
  </sheets>
  <definedNames/>
  <calcPr/>
</workbook>
</file>

<file path=xl/sharedStrings.xml><?xml version="1.0" encoding="utf-8"?>
<sst xmlns="http://schemas.openxmlformats.org/spreadsheetml/2006/main" count="144" uniqueCount="57">
  <si>
    <t>6º ao 9º EFAF</t>
  </si>
  <si>
    <t>3ª EM</t>
  </si>
  <si>
    <t>1ª/2ª EM</t>
  </si>
  <si>
    <t>Total de Matrículas</t>
  </si>
  <si>
    <t>Alunos que fizeram a avaliação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</si>
  <si>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</si>
  <si>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</si>
  <si>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</si>
  <si>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</si>
  <si>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</si>
  <si>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</si>
  <si>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</si>
  <si>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Turma</t>
  </si>
  <si>
    <t>Acertos em Língua Portuguesa (Questões 1, 2, 3, 4, 5)</t>
  </si>
  <si>
    <t>6° ANO A INTEGRAL 7H T1 ANUAL - 40979455</t>
  </si>
  <si>
    <t>Acertos em Matemática (Questões 6, 7, 8, 9, 10)</t>
  </si>
  <si>
    <t>Acertos em Física (Questões 11, 12, 13, 14)</t>
  </si>
  <si>
    <t>Acertos em Física (Questões 9, 10)</t>
  </si>
  <si>
    <t>Acertos em História (Questões 15, 16, 17, 18)</t>
  </si>
  <si>
    <t>Acertos em Química (Questões 11, 12)</t>
  </si>
  <si>
    <t>Acertos em Língua Inglesa (Questões 19, 20, 21, 22)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</si>
  <si>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</si>
  <si>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</si>
  <si>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</si>
  <si>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</si>
  <si>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3ª SERIE B INTEGRAL 7H T2 ANUAL - 40949611</t>
  </si>
  <si>
    <t>Acertos em Língua Inglesa (Questões 21, 22)</t>
  </si>
  <si>
    <t>1ª SERIE A INTEGRAL 7H T2 ANUAL - 40971609</t>
  </si>
  <si>
    <t>Alunos (Pres.)</t>
  </si>
  <si>
    <t>Total Matric.</t>
  </si>
  <si>
    <t>Part. (%)</t>
  </si>
  <si>
    <t>Biologia</t>
  </si>
  <si>
    <t>Ciências</t>
  </si>
  <si>
    <t>Filosofia</t>
  </si>
  <si>
    <t>Sociologia</t>
  </si>
  <si>
    <t>Física</t>
  </si>
  <si>
    <t>Geografia</t>
  </si>
  <si>
    <t>História</t>
  </si>
  <si>
    <t>Língua Inglesa</t>
  </si>
  <si>
    <t>Língua Portuguesa</t>
  </si>
  <si>
    <t>Matemática</t>
  </si>
  <si>
    <t>Química</t>
  </si>
  <si>
    <t>Média Geral</t>
  </si>
  <si>
    <t>MÉDIA GLOBAL DA ESCOLA</t>
  </si>
  <si>
    <t>6º ANO B INTEGRAL 7H T1 ANUAL - 40979456</t>
  </si>
  <si>
    <t>1ª SERIE B INTEGRAL 7H T2 ANUAL - 40971610</t>
  </si>
  <si>
    <t>4050 - ADMINISTRAÇÃO - 3ª SERIE A INTEGRAL 7H T2 ANUAL - 40965455</t>
  </si>
  <si>
    <t>7º ANO A INTEGRAL 7H T1 ANUAL - 40928735</t>
  </si>
  <si>
    <t>7º ANO B INTEGRAL 7H T1 ANUAL - 40928730</t>
  </si>
  <si>
    <t>4050 - ADMINISTRAÇÃO - 2ª SERIE A INTEGRAL 7H T2 ANUAL - 41140987</t>
  </si>
  <si>
    <t>7º ANO C INTEGRAL 7H T1 ANUAL - 40928734</t>
  </si>
  <si>
    <t>4050 - ADMINISTRAÇÃO - 2ª SERIE B INTEGRAL 7H T2 ANUAL - 41237071</t>
  </si>
  <si>
    <t>8° ANO A INTEGRAL 7H T1 ANUAL - 40928733</t>
  </si>
  <si>
    <t>8° ANO B INTEGRAL 7H T1 ANUAL - 40928732</t>
  </si>
  <si>
    <t>9° ANO A INTEGRAL 7H T1 ANUAL - 40928731</t>
  </si>
  <si>
    <t>9° ANO B INTEGRAL 7H T1 ANUAL - 40928729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</si>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</sst>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;-0.0%;&quot;&quot;"/>
  </numFmts>
  <fonts count="9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b/>
      <sz val="9.0"/>
      <color rgb="FFFFFFFF"/>
      <name val="Calibri"/>
      <scheme val="minor"/>
    </font>
    <font>
      <sz val="11.0"/>
      <color theme="1"/>
      <name val="Calibri"/>
    </font>
    <font>
      <b/>
      <sz val="9.0"/>
      <color rgb="FF1F2438"/>
      <name val="Calibri"/>
      <scheme val="minor"/>
    </font>
    <font>
      <sz val="9.0"/>
      <color theme="1"/>
      <name val="Calibri"/>
      <scheme val="minor"/>
    </font>
    <font>
      <b/>
      <sz val="9.0"/>
      <color rgb="FF1F4E79"/>
      <name val="Calibri"/>
      <scheme val="minor"/>
    </font>
    <font>
      <sz val="9.0"/>
      <color rgb="FFBDC3C7"/>
      <name val="Calibri"/>
      <scheme val="minor"/>
    </font>
    <font>
      <b/>
      <sz val="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F2438"/>
        <bgColor rgb="FF1F2438"/>
      </patternFill>
    </fill>
    <fill>
      <patternFill patternType="solid">
        <fgColor rgb="FFF5B025"/>
        <bgColor rgb="FFF5B025"/>
      </patternFill>
    </fill>
    <fill>
      <patternFill patternType="solid">
        <fgColor rgb="FFEBF5FB"/>
        <bgColor rgb="FFEBF5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2" fillId="4" fontId="4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center" vertical="center"/>
    </xf>
    <xf borderId="2" fillId="4" fontId="4" numFmtId="164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2" fillId="5" fontId="6" numFmtId="164" xfId="0" applyAlignment="1" applyBorder="1" applyFill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5" numFmtId="164" xfId="0" applyAlignment="1" applyBorder="1" applyFont="1" applyNumberForma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sz val="9.0"/>
        <color rgb="FFFFFFFF"/>
      </font>
      <fill>
        <patternFill patternType="solid">
          <fgColor rgb="FF27AE60"/>
          <bgColor rgb="FF27AE60"/>
        </patternFill>
      </fill>
      <border/>
    </dxf>
    <dxf>
      <font>
        <b/>
        <sz val="9.0"/>
        <color rgb="FF1C2833"/>
      </font>
      <fill>
        <patternFill patternType="solid">
          <fgColor rgb="FFF4D03F"/>
          <bgColor rgb="FFF4D03F"/>
        </patternFill>
      </fill>
      <border/>
    </dxf>
    <dxf>
      <font>
        <b/>
        <sz val="9.0"/>
        <color rgb="FFFFFFFF"/>
      </font>
      <fill>
        <patternFill patternType="solid">
          <fgColor rgb="FFE74C3C"/>
          <bgColor rgb="FFE74C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0" width="16.0"/>
    <col customWidth="1" min="11" max="26" width="8.71"/>
  </cols>
  <sheetData>
    <row r="1" ht="64.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3" t="s">
        <v>14</v>
      </c>
      <c r="B2" s="4">
        <v>34.0</v>
      </c>
      <c r="C2" s="5">
        <v>33.0</v>
      </c>
      <c r="D2" s="5">
        <v>91.0</v>
      </c>
      <c r="E2" s="5">
        <v>83.0</v>
      </c>
      <c r="F2" s="5">
        <v>81.0</v>
      </c>
      <c r="G2" s="5">
        <v>54.0</v>
      </c>
      <c r="H2" s="5">
        <v>26.0</v>
      </c>
      <c r="I2" s="5">
        <v>68.0</v>
      </c>
      <c r="J2" s="4">
        <f t="shared" ref="J2:J10" si="1">IF(COUNT(D2:I2)&gt;0, SUM(D2:I2), 0)</f>
        <v>403</v>
      </c>
    </row>
    <row r="3">
      <c r="A3" s="3" t="s">
        <v>44</v>
      </c>
      <c r="B3" s="4">
        <v>33.0</v>
      </c>
      <c r="C3" s="5">
        <v>30.0</v>
      </c>
      <c r="D3" s="5">
        <v>79.0</v>
      </c>
      <c r="E3" s="5">
        <v>60.0</v>
      </c>
      <c r="F3" s="5">
        <v>72.0</v>
      </c>
      <c r="G3" s="5">
        <v>50.0</v>
      </c>
      <c r="H3" s="5">
        <v>20.0</v>
      </c>
      <c r="I3" s="5">
        <v>64.0</v>
      </c>
      <c r="J3" s="4">
        <f t="shared" si="1"/>
        <v>345</v>
      </c>
    </row>
    <row r="4">
      <c r="A4" s="3" t="s">
        <v>47</v>
      </c>
      <c r="B4" s="5">
        <v>20.0</v>
      </c>
      <c r="C4" s="5">
        <v>20.0</v>
      </c>
      <c r="D4" s="5">
        <v>43.0</v>
      </c>
      <c r="E4" s="5">
        <v>21.0</v>
      </c>
      <c r="F4" s="5">
        <v>44.0</v>
      </c>
      <c r="G4" s="5">
        <v>40.0</v>
      </c>
      <c r="H4" s="5">
        <v>34.0</v>
      </c>
      <c r="I4" s="5">
        <v>28.0</v>
      </c>
      <c r="J4" s="4">
        <f t="shared" si="1"/>
        <v>210</v>
      </c>
    </row>
    <row r="5">
      <c r="A5" s="3" t="s">
        <v>48</v>
      </c>
      <c r="B5" s="4">
        <v>35.0</v>
      </c>
      <c r="C5" s="5">
        <v>35.0</v>
      </c>
      <c r="D5" s="5">
        <v>86.0</v>
      </c>
      <c r="E5" s="5">
        <v>48.0</v>
      </c>
      <c r="F5" s="5">
        <v>62.0</v>
      </c>
      <c r="G5" s="5">
        <v>67.0</v>
      </c>
      <c r="H5" s="5">
        <v>48.0</v>
      </c>
      <c r="I5" s="5">
        <v>68.0</v>
      </c>
      <c r="J5" s="4">
        <f t="shared" si="1"/>
        <v>379</v>
      </c>
    </row>
    <row r="6">
      <c r="A6" s="3" t="s">
        <v>50</v>
      </c>
      <c r="B6" s="4">
        <v>35.0</v>
      </c>
      <c r="C6" s="5">
        <v>31.0</v>
      </c>
      <c r="D6" s="5">
        <v>71.0</v>
      </c>
      <c r="E6" s="5">
        <v>53.0</v>
      </c>
      <c r="F6" s="5">
        <v>62.0</v>
      </c>
      <c r="G6" s="5">
        <v>69.0</v>
      </c>
      <c r="H6" s="5">
        <v>43.0</v>
      </c>
      <c r="I6" s="5">
        <v>60.0</v>
      </c>
      <c r="J6" s="4">
        <f t="shared" si="1"/>
        <v>358</v>
      </c>
    </row>
    <row r="7">
      <c r="A7" s="3" t="s">
        <v>52</v>
      </c>
      <c r="B7" s="4">
        <v>35.0</v>
      </c>
      <c r="C7" s="5">
        <v>35.0</v>
      </c>
      <c r="D7" s="5">
        <v>103.0</v>
      </c>
      <c r="E7" s="5">
        <v>96.0</v>
      </c>
      <c r="F7" s="5">
        <v>84.0</v>
      </c>
      <c r="G7" s="5">
        <v>86.0</v>
      </c>
      <c r="H7" s="5">
        <v>78.0</v>
      </c>
      <c r="I7" s="5">
        <v>77.0</v>
      </c>
      <c r="J7" s="4">
        <f t="shared" si="1"/>
        <v>524</v>
      </c>
    </row>
    <row r="8">
      <c r="A8" s="3" t="s">
        <v>53</v>
      </c>
      <c r="B8" s="4">
        <v>36.0</v>
      </c>
      <c r="C8" s="5">
        <v>35.0</v>
      </c>
      <c r="D8" s="5">
        <v>77.0</v>
      </c>
      <c r="E8" s="5">
        <v>54.0</v>
      </c>
      <c r="F8" s="5">
        <v>73.0</v>
      </c>
      <c r="G8" s="5">
        <v>63.0</v>
      </c>
      <c r="H8" s="5">
        <v>51.0</v>
      </c>
      <c r="I8" s="5">
        <v>35.0</v>
      </c>
      <c r="J8" s="4">
        <f t="shared" si="1"/>
        <v>353</v>
      </c>
    </row>
    <row r="9">
      <c r="A9" s="3" t="s">
        <v>54</v>
      </c>
      <c r="B9" s="4">
        <v>36.0</v>
      </c>
      <c r="C9" s="5">
        <v>34.0</v>
      </c>
      <c r="D9" s="5">
        <v>90.0</v>
      </c>
      <c r="E9" s="5">
        <v>55.0</v>
      </c>
      <c r="F9" s="5">
        <v>55.0</v>
      </c>
      <c r="G9" s="5">
        <v>65.0</v>
      </c>
      <c r="H9" s="5">
        <v>50.0</v>
      </c>
      <c r="I9" s="5">
        <v>40.0</v>
      </c>
      <c r="J9" s="4">
        <f t="shared" si="1"/>
        <v>355</v>
      </c>
    </row>
    <row r="10">
      <c r="A10" s="3" t="s">
        <v>55</v>
      </c>
      <c r="B10" s="4">
        <v>37.0</v>
      </c>
      <c r="C10" s="5">
        <v>34.0</v>
      </c>
      <c r="D10" s="5">
        <v>85.0</v>
      </c>
      <c r="E10" s="5">
        <v>50.0</v>
      </c>
      <c r="F10" s="5">
        <v>65.0</v>
      </c>
      <c r="G10" s="5">
        <v>60.0</v>
      </c>
      <c r="H10" s="5">
        <v>35.0</v>
      </c>
      <c r="I10" s="5">
        <v>40.0</v>
      </c>
      <c r="J10" s="4">
        <f t="shared" si="1"/>
        <v>335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3" width="16.0"/>
    <col customWidth="1" min="14" max="26" width="8.71"/>
  </cols>
  <sheetData>
    <row r="1" ht="64.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17</v>
      </c>
      <c r="G1" s="1" t="s">
        <v>19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26</v>
      </c>
      <c r="M1" s="1" t="s">
        <v>11</v>
      </c>
    </row>
    <row r="2">
      <c r="A2" s="3" t="s">
        <v>27</v>
      </c>
      <c r="B2" s="4">
        <v>32.0</v>
      </c>
      <c r="C2" s="5">
        <v>28.0</v>
      </c>
      <c r="D2" s="5">
        <v>65.0</v>
      </c>
      <c r="E2" s="5">
        <v>35.0</v>
      </c>
      <c r="F2" s="5">
        <v>15.0</v>
      </c>
      <c r="G2" s="5">
        <v>15.0</v>
      </c>
      <c r="H2" s="5">
        <v>15.0</v>
      </c>
      <c r="I2" s="5">
        <v>25.0</v>
      </c>
      <c r="J2" s="5">
        <v>20.0</v>
      </c>
      <c r="K2" s="5">
        <v>50.0</v>
      </c>
      <c r="L2" s="5">
        <v>18.0</v>
      </c>
      <c r="M2" s="4">
        <f t="shared" ref="M2:M5" si="1">IF(COUNT(D2:L2)&gt;0, SUM(D2:L2), 0)</f>
        <v>258</v>
      </c>
    </row>
    <row r="3">
      <c r="A3" s="3" t="s">
        <v>45</v>
      </c>
      <c r="B3" s="4">
        <v>31.0</v>
      </c>
      <c r="C3" s="5">
        <v>30.0</v>
      </c>
      <c r="D3" s="5">
        <v>75.0</v>
      </c>
      <c r="E3" s="5">
        <v>30.0</v>
      </c>
      <c r="F3" s="5">
        <v>14.0</v>
      </c>
      <c r="G3" s="5">
        <v>20.0</v>
      </c>
      <c r="H3" s="5">
        <v>22.0</v>
      </c>
      <c r="I3" s="5">
        <v>25.0</v>
      </c>
      <c r="J3" s="5">
        <v>21.0</v>
      </c>
      <c r="K3" s="5">
        <v>52.0</v>
      </c>
      <c r="L3" s="5">
        <v>25.0</v>
      </c>
      <c r="M3" s="4">
        <f t="shared" si="1"/>
        <v>284</v>
      </c>
    </row>
    <row r="4">
      <c r="A4" s="3" t="s">
        <v>49</v>
      </c>
      <c r="B4" s="4">
        <v>20.0</v>
      </c>
      <c r="C4" s="5">
        <v>19.0</v>
      </c>
      <c r="D4" s="5">
        <v>72.0</v>
      </c>
      <c r="E4" s="5">
        <v>70.0</v>
      </c>
      <c r="F4" s="5">
        <v>35.0</v>
      </c>
      <c r="G4" s="5">
        <v>33.0</v>
      </c>
      <c r="H4" s="5">
        <v>34.0</v>
      </c>
      <c r="I4" s="5">
        <v>35.0</v>
      </c>
      <c r="J4" s="5">
        <v>34.0</v>
      </c>
      <c r="K4" s="5">
        <v>32.0</v>
      </c>
      <c r="L4" s="5">
        <v>34.0</v>
      </c>
      <c r="M4" s="4">
        <f t="shared" si="1"/>
        <v>379</v>
      </c>
    </row>
    <row r="5">
      <c r="A5" s="3" t="s">
        <v>51</v>
      </c>
      <c r="B5" s="4">
        <v>22.0</v>
      </c>
      <c r="C5" s="5">
        <v>21.0</v>
      </c>
      <c r="D5" s="5">
        <v>50.0</v>
      </c>
      <c r="E5" s="5">
        <v>25.0</v>
      </c>
      <c r="F5" s="5">
        <v>10.0</v>
      </c>
      <c r="G5" s="5">
        <v>26.0</v>
      </c>
      <c r="H5" s="5">
        <v>25.0</v>
      </c>
      <c r="I5" s="5">
        <v>26.0</v>
      </c>
      <c r="J5" s="5">
        <v>15.0</v>
      </c>
      <c r="K5" s="5">
        <v>20.0</v>
      </c>
      <c r="L5" s="5">
        <v>12.0</v>
      </c>
      <c r="M5" s="4">
        <f t="shared" si="1"/>
        <v>209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9" width="16.0"/>
    <col customWidth="1" min="10" max="26" width="8.71"/>
  </cols>
  <sheetData>
    <row r="1" ht="64.5" customHeight="1">
      <c r="A1" s="1" t="s">
        <v>1</v>
      </c>
      <c r="B1" s="1" t="s">
        <v>3</v>
      </c>
      <c r="C1" s="1" t="s">
        <v>4</v>
      </c>
      <c r="D1" s="1" t="s">
        <v>13</v>
      </c>
      <c r="E1" s="1" t="s">
        <v>15</v>
      </c>
      <c r="F1" s="1" t="s">
        <v>16</v>
      </c>
      <c r="G1" s="1" t="s">
        <v>18</v>
      </c>
      <c r="H1" s="1" t="s">
        <v>20</v>
      </c>
      <c r="I1" s="1" t="s">
        <v>11</v>
      </c>
    </row>
    <row r="2">
      <c r="A2" s="3" t="s">
        <v>25</v>
      </c>
      <c r="B2" s="4">
        <v>9.0</v>
      </c>
      <c r="C2" s="5">
        <v>8.0</v>
      </c>
      <c r="D2" s="5">
        <v>30.0</v>
      </c>
      <c r="E2" s="5">
        <v>21.0</v>
      </c>
      <c r="F2" s="5">
        <v>5.0</v>
      </c>
      <c r="G2" s="5">
        <v>32.0</v>
      </c>
      <c r="H2" s="5">
        <v>25.0</v>
      </c>
      <c r="I2" s="4">
        <f t="shared" ref="I2:I3" si="1">IF(COUNT(D2:H2)&gt;0, SUM(D2:H2), 0)</f>
        <v>113</v>
      </c>
    </row>
    <row r="3">
      <c r="A3" s="3" t="s">
        <v>46</v>
      </c>
      <c r="B3" s="4">
        <v>22.0</v>
      </c>
      <c r="C3" s="5">
        <v>22.0</v>
      </c>
      <c r="D3" s="5">
        <v>65.0</v>
      </c>
      <c r="E3" s="5">
        <v>30.0</v>
      </c>
      <c r="F3" s="5">
        <v>12.0</v>
      </c>
      <c r="G3" s="5">
        <v>53.0</v>
      </c>
      <c r="H3" s="5">
        <v>32.0</v>
      </c>
      <c r="I3" s="4">
        <f t="shared" si="1"/>
        <v>192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16" width="10.0"/>
    <col customWidth="1" min="17" max="26" width="8.71"/>
  </cols>
  <sheetData>
    <row r="1" ht="45.0" customHeight="1">
      <c r="A1" s="2" t="s">
        <v>12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</row>
    <row r="2" ht="27.75" customHeight="1">
      <c r="A2" s="6" t="s">
        <v>43</v>
      </c>
      <c r="B2" s="7">
        <f t="shared" ref="B2:C2" si="1">IFERROR(SUM(B3:B17), 0)</f>
        <v>415</v>
      </c>
      <c r="C2" s="7">
        <f t="shared" si="1"/>
        <v>437</v>
      </c>
      <c r="D2" s="8">
        <f t="shared" ref="D2:D17" si="3">IF(AND(ISNUMBER(C2), C2&gt;0, ISNUMBER(B2)), B2/C2, 0)</f>
        <v>0.9496567506</v>
      </c>
      <c r="E2" s="8">
        <f t="shared" ref="E2:P2" si="2">IFERROR(AVERAGEIF(E3:E17, "&gt;0"), 0)</f>
        <v>0.5311246867</v>
      </c>
      <c r="F2" s="8">
        <f t="shared" si="2"/>
        <v>0.6435828116</v>
      </c>
      <c r="G2" s="8">
        <f t="shared" si="2"/>
        <v>0.8797619048</v>
      </c>
      <c r="H2" s="8">
        <f t="shared" si="2"/>
        <v>0.6591478697</v>
      </c>
      <c r="I2" s="8">
        <f t="shared" si="2"/>
        <v>0.325491997</v>
      </c>
      <c r="J2" s="8">
        <f t="shared" si="2"/>
        <v>0.5359561347</v>
      </c>
      <c r="K2" s="8">
        <f t="shared" si="2"/>
        <v>0.5358931052</v>
      </c>
      <c r="L2" s="8">
        <f t="shared" si="2"/>
        <v>0.6229199614</v>
      </c>
      <c r="M2" s="8">
        <f t="shared" si="2"/>
        <v>0.6488963583</v>
      </c>
      <c r="N2" s="8">
        <f t="shared" si="2"/>
        <v>0.4389300482</v>
      </c>
      <c r="O2" s="8">
        <f t="shared" si="2"/>
        <v>0.522164787</v>
      </c>
      <c r="P2" s="8">
        <f t="shared" si="2"/>
        <v>0.557242295</v>
      </c>
    </row>
    <row r="3" ht="21.75" customHeight="1">
      <c r="A3" s="9" t="s">
        <v>14</v>
      </c>
      <c r="B3" s="10">
        <f>'6º ao 9º EFAF'!C2</f>
        <v>33</v>
      </c>
      <c r="C3" s="10">
        <f>'6º ao 9º EFAF'!B2</f>
        <v>34</v>
      </c>
      <c r="D3" s="11">
        <f t="shared" si="3"/>
        <v>0.9705882353</v>
      </c>
      <c r="E3" s="12" t="s">
        <v>56</v>
      </c>
      <c r="F3" s="13">
        <f>IF(AND(ISNUMBER(B3), B3&gt;0, ISNUMBER('6º ao 9º EFAF'!G2)), ('6º ao 9º EFAF'!G2/(B3*3)), 0)</f>
        <v>0.5454545455</v>
      </c>
      <c r="G3" s="12" t="s">
        <v>56</v>
      </c>
      <c r="H3" s="12" t="s">
        <v>56</v>
      </c>
      <c r="I3" s="12" t="s">
        <v>56</v>
      </c>
      <c r="J3" s="13">
        <f>IF(AND(ISNUMBER(B3), B3&gt;0, ISNUMBER('6º ao 9º EFAF'!I2)), ('6º ao 9º EFAF'!I2/(B3*3)), 0)</f>
        <v>0.6868686869</v>
      </c>
      <c r="K3" s="13">
        <f>IF(AND(ISNUMBER(B3), B3&gt;0, ISNUMBER('6º ao 9º EFAF'!H2)), ('6º ao 9º EFAF'!H2/(B3*3)), 0)</f>
        <v>0.2626262626</v>
      </c>
      <c r="L3" s="13">
        <f>IF(AND(ISNUMBER(B3), B3&gt;0, ISNUMBER('6º ao 9º EFAF'!F2)), ('6º ao 9º EFAF'!F2/(B3*3)), 0)</f>
        <v>0.8181818182</v>
      </c>
      <c r="M3" s="13">
        <f>IF(AND(ISNUMBER(B3), B3&gt;0, ISNUMBER('6º ao 9º EFAF'!D2)), ('6º ao 9º EFAF'!D2/(B3*4)), 0)</f>
        <v>0.6893939394</v>
      </c>
      <c r="N3" s="13">
        <f>IF(AND(ISNUMBER(B3), B3&gt;0, ISNUMBER('6º ao 9º EFAF'!E2)), ('6º ao 9º EFAF'!E2/(B3*4)), 0)</f>
        <v>0.6287878788</v>
      </c>
      <c r="O3" s="12" t="s">
        <v>56</v>
      </c>
      <c r="P3" s="14">
        <f t="shared" ref="P3:P17" si="4">IFERROR(AVERAGEIF(E3:O3, "&gt;0"), 0)</f>
        <v>0.6052188552</v>
      </c>
    </row>
    <row r="4" ht="21.75" customHeight="1">
      <c r="A4" s="9" t="s">
        <v>44</v>
      </c>
      <c r="B4" s="10">
        <f>'6º ao 9º EFAF'!C3</f>
        <v>30</v>
      </c>
      <c r="C4" s="10">
        <f>'6º ao 9º EFAF'!B3</f>
        <v>33</v>
      </c>
      <c r="D4" s="11">
        <f t="shared" si="3"/>
        <v>0.9090909091</v>
      </c>
      <c r="E4" s="12" t="s">
        <v>56</v>
      </c>
      <c r="F4" s="13">
        <f>IF(AND(ISNUMBER(B4), B4&gt;0, ISNUMBER('6º ao 9º EFAF'!G3)), ('6º ao 9º EFAF'!G3/(B4*3)), 0)</f>
        <v>0.5555555556</v>
      </c>
      <c r="G4" s="12" t="s">
        <v>56</v>
      </c>
      <c r="H4" s="12" t="s">
        <v>56</v>
      </c>
      <c r="I4" s="12" t="s">
        <v>56</v>
      </c>
      <c r="J4" s="13">
        <f>IF(AND(ISNUMBER(B4), B4&gt;0, ISNUMBER('6º ao 9º EFAF'!I3)), ('6º ao 9º EFAF'!I3/(B4*3)), 0)</f>
        <v>0.7111111111</v>
      </c>
      <c r="K4" s="13">
        <f>IF(AND(ISNUMBER(B4), B4&gt;0, ISNUMBER('6º ao 9º EFAF'!H3)), ('6º ao 9º EFAF'!H3/(B4*3)), 0)</f>
        <v>0.2222222222</v>
      </c>
      <c r="L4" s="13">
        <f>IF(AND(ISNUMBER(B4), B4&gt;0, ISNUMBER('6º ao 9º EFAF'!F3)), ('6º ao 9º EFAF'!F3/(B4*3)), 0)</f>
        <v>0.8</v>
      </c>
      <c r="M4" s="13">
        <f>IF(AND(ISNUMBER(B4), B4&gt;0, ISNUMBER('6º ao 9º EFAF'!D3)), ('6º ao 9º EFAF'!D3/(B4*4)), 0)</f>
        <v>0.6583333333</v>
      </c>
      <c r="N4" s="13">
        <f>IF(AND(ISNUMBER(B4), B4&gt;0, ISNUMBER('6º ao 9º EFAF'!E3)), ('6º ao 9º EFAF'!E3/(B4*4)), 0)</f>
        <v>0.5</v>
      </c>
      <c r="O4" s="12" t="s">
        <v>56</v>
      </c>
      <c r="P4" s="14">
        <f t="shared" si="4"/>
        <v>0.574537037</v>
      </c>
    </row>
    <row r="5" ht="21.75" customHeight="1">
      <c r="A5" s="9" t="s">
        <v>47</v>
      </c>
      <c r="B5" s="10">
        <f>'6º ao 9º EFAF'!C4</f>
        <v>20</v>
      </c>
      <c r="C5" s="10">
        <f>'6º ao 9º EFAF'!B4</f>
        <v>20</v>
      </c>
      <c r="D5" s="11">
        <f t="shared" si="3"/>
        <v>1</v>
      </c>
      <c r="E5" s="12" t="s">
        <v>56</v>
      </c>
      <c r="F5" s="13">
        <f>IF(AND(ISNUMBER(B5), B5&gt;0, ISNUMBER('6º ao 9º EFAF'!G4)), ('6º ao 9º EFAF'!G4/(B5*3)), 0)</f>
        <v>0.6666666667</v>
      </c>
      <c r="G5" s="12" t="s">
        <v>56</v>
      </c>
      <c r="H5" s="12" t="s">
        <v>56</v>
      </c>
      <c r="I5" s="12" t="s">
        <v>56</v>
      </c>
      <c r="J5" s="13">
        <f>IF(AND(ISNUMBER(B5), B5&gt;0, ISNUMBER('6º ao 9º EFAF'!I4)), ('6º ao 9º EFAF'!I4/(B5*3)), 0)</f>
        <v>0.4666666667</v>
      </c>
      <c r="K5" s="13">
        <f>IF(AND(ISNUMBER(B5), B5&gt;0, ISNUMBER('6º ao 9º EFAF'!H4)), ('6º ao 9º EFAF'!H4/(B5*3)), 0)</f>
        <v>0.5666666667</v>
      </c>
      <c r="L5" s="13">
        <f>IF(AND(ISNUMBER(B5), B5&gt;0, ISNUMBER('6º ao 9º EFAF'!F4)), ('6º ao 9º EFAF'!F4/(B5*3)), 0)</f>
        <v>0.7333333333</v>
      </c>
      <c r="M5" s="13">
        <f>IF(AND(ISNUMBER(B5), B5&gt;0, ISNUMBER('6º ao 9º EFAF'!D4)), ('6º ao 9º EFAF'!D4/(B5*4)), 0)</f>
        <v>0.5375</v>
      </c>
      <c r="N5" s="13">
        <f>IF(AND(ISNUMBER(B5), B5&gt;0, ISNUMBER('6º ao 9º EFAF'!E4)), ('6º ao 9º EFAF'!E4/(B5*4)), 0)</f>
        <v>0.2625</v>
      </c>
      <c r="O5" s="12" t="s">
        <v>56</v>
      </c>
      <c r="P5" s="14">
        <f t="shared" si="4"/>
        <v>0.5388888889</v>
      </c>
    </row>
    <row r="6" ht="21.75" customHeight="1">
      <c r="A6" s="9" t="s">
        <v>48</v>
      </c>
      <c r="B6" s="10">
        <f>'6º ao 9º EFAF'!C5</f>
        <v>35</v>
      </c>
      <c r="C6" s="10">
        <f>'6º ao 9º EFAF'!B5</f>
        <v>35</v>
      </c>
      <c r="D6" s="11">
        <f t="shared" si="3"/>
        <v>1</v>
      </c>
      <c r="E6" s="12" t="s">
        <v>56</v>
      </c>
      <c r="F6" s="13">
        <f>IF(AND(ISNUMBER(B6), B6&gt;0, ISNUMBER('6º ao 9º EFAF'!G5)), ('6º ao 9º EFAF'!G5/(B6*3)), 0)</f>
        <v>0.6380952381</v>
      </c>
      <c r="G6" s="12" t="s">
        <v>56</v>
      </c>
      <c r="H6" s="12" t="s">
        <v>56</v>
      </c>
      <c r="I6" s="12" t="s">
        <v>56</v>
      </c>
      <c r="J6" s="13">
        <f>IF(AND(ISNUMBER(B6), B6&gt;0, ISNUMBER('6º ao 9º EFAF'!I5)), ('6º ao 9º EFAF'!I5/(B6*3)), 0)</f>
        <v>0.6476190476</v>
      </c>
      <c r="K6" s="13">
        <f>IF(AND(ISNUMBER(B6), B6&gt;0, ISNUMBER('6º ao 9º EFAF'!H5)), ('6º ao 9º EFAF'!H5/(B6*3)), 0)</f>
        <v>0.4571428571</v>
      </c>
      <c r="L6" s="13">
        <f>IF(AND(ISNUMBER(B6), B6&gt;0, ISNUMBER('6º ao 9º EFAF'!F5)), ('6º ao 9º EFAF'!F5/(B6*3)), 0)</f>
        <v>0.5904761905</v>
      </c>
      <c r="M6" s="13">
        <f>IF(AND(ISNUMBER(B6), B6&gt;0, ISNUMBER('6º ao 9º EFAF'!D5)), ('6º ao 9º EFAF'!D5/(B6*4)), 0)</f>
        <v>0.6142857143</v>
      </c>
      <c r="N6" s="13">
        <f>IF(AND(ISNUMBER(B6), B6&gt;0, ISNUMBER('6º ao 9º EFAF'!E5)), ('6º ao 9º EFAF'!E5/(B6*4)), 0)</f>
        <v>0.3428571429</v>
      </c>
      <c r="O6" s="12" t="s">
        <v>56</v>
      </c>
      <c r="P6" s="14">
        <f t="shared" si="4"/>
        <v>0.5484126984</v>
      </c>
    </row>
    <row r="7" ht="21.75" customHeight="1">
      <c r="A7" s="9" t="s">
        <v>50</v>
      </c>
      <c r="B7" s="10">
        <f>'6º ao 9º EFAF'!C6</f>
        <v>31</v>
      </c>
      <c r="C7" s="10">
        <f>'6º ao 9º EFAF'!B6</f>
        <v>35</v>
      </c>
      <c r="D7" s="11">
        <f t="shared" si="3"/>
        <v>0.8857142857</v>
      </c>
      <c r="E7" s="12" t="s">
        <v>56</v>
      </c>
      <c r="F7" s="13">
        <f>IF(AND(ISNUMBER(B7), B7&gt;0, ISNUMBER('6º ao 9º EFAF'!G6)), ('6º ao 9º EFAF'!G6/(B7*3)), 0)</f>
        <v>0.7419354839</v>
      </c>
      <c r="G7" s="12" t="s">
        <v>56</v>
      </c>
      <c r="H7" s="12" t="s">
        <v>56</v>
      </c>
      <c r="I7" s="12" t="s">
        <v>56</v>
      </c>
      <c r="J7" s="13">
        <f>IF(AND(ISNUMBER(B7), B7&gt;0, ISNUMBER('6º ao 9º EFAF'!I6)), ('6º ao 9º EFAF'!I6/(B7*3)), 0)</f>
        <v>0.6451612903</v>
      </c>
      <c r="K7" s="13">
        <f>IF(AND(ISNUMBER(B7), B7&gt;0, ISNUMBER('6º ao 9º EFAF'!H6)), ('6º ao 9º EFAF'!H6/(B7*3)), 0)</f>
        <v>0.4623655914</v>
      </c>
      <c r="L7" s="13">
        <f>IF(AND(ISNUMBER(B7), B7&gt;0, ISNUMBER('6º ao 9º EFAF'!F6)), ('6º ao 9º EFAF'!F6/(B7*3)), 0)</f>
        <v>0.6666666667</v>
      </c>
      <c r="M7" s="13">
        <f>IF(AND(ISNUMBER(B7), B7&gt;0, ISNUMBER('6º ao 9º EFAF'!D6)), ('6º ao 9º EFAF'!D6/(B7*4)), 0)</f>
        <v>0.5725806452</v>
      </c>
      <c r="N7" s="13">
        <f>IF(AND(ISNUMBER(B7), B7&gt;0, ISNUMBER('6º ao 9º EFAF'!E6)), ('6º ao 9º EFAF'!E6/(B7*4)), 0)</f>
        <v>0.4274193548</v>
      </c>
      <c r="O7" s="12" t="s">
        <v>56</v>
      </c>
      <c r="P7" s="14">
        <f t="shared" si="4"/>
        <v>0.5860215054</v>
      </c>
    </row>
    <row r="8" ht="21.75" customHeight="1">
      <c r="A8" s="9" t="s">
        <v>52</v>
      </c>
      <c r="B8" s="10">
        <f>'6º ao 9º EFAF'!C7</f>
        <v>35</v>
      </c>
      <c r="C8" s="10">
        <f>'6º ao 9º EFAF'!B7</f>
        <v>35</v>
      </c>
      <c r="D8" s="11">
        <f t="shared" si="3"/>
        <v>1</v>
      </c>
      <c r="E8" s="12" t="s">
        <v>56</v>
      </c>
      <c r="F8" s="13">
        <f>IF(AND(ISNUMBER(B8), B8&gt;0, ISNUMBER('6º ao 9º EFAF'!G7)), ('6º ao 9º EFAF'!G7/(B8*3)), 0)</f>
        <v>0.819047619</v>
      </c>
      <c r="G8" s="12" t="s">
        <v>56</v>
      </c>
      <c r="H8" s="12" t="s">
        <v>56</v>
      </c>
      <c r="I8" s="12" t="s">
        <v>56</v>
      </c>
      <c r="J8" s="13">
        <f>IF(AND(ISNUMBER(B8), B8&gt;0, ISNUMBER('6º ao 9º EFAF'!I7)), ('6º ao 9º EFAF'!I7/(B8*3)), 0)</f>
        <v>0.7333333333</v>
      </c>
      <c r="K8" s="13">
        <f>IF(AND(ISNUMBER(B8), B8&gt;0, ISNUMBER('6º ao 9º EFAF'!H7)), ('6º ao 9º EFAF'!H7/(B8*3)), 0)</f>
        <v>0.7428571429</v>
      </c>
      <c r="L8" s="13">
        <f>IF(AND(ISNUMBER(B8), B8&gt;0, ISNUMBER('6º ao 9º EFAF'!F7)), ('6º ao 9º EFAF'!F7/(B8*3)), 0)</f>
        <v>0.8</v>
      </c>
      <c r="M8" s="13">
        <f>IF(AND(ISNUMBER(B8), B8&gt;0, ISNUMBER('6º ao 9º EFAF'!D7)), ('6º ao 9º EFAF'!D7/(B8*4)), 0)</f>
        <v>0.7357142857</v>
      </c>
      <c r="N8" s="13">
        <f>IF(AND(ISNUMBER(B8), B8&gt;0, ISNUMBER('6º ao 9º EFAF'!E7)), ('6º ao 9º EFAF'!E7/(B8*4)), 0)</f>
        <v>0.6857142857</v>
      </c>
      <c r="O8" s="12" t="s">
        <v>56</v>
      </c>
      <c r="P8" s="14">
        <f t="shared" si="4"/>
        <v>0.7527777778</v>
      </c>
    </row>
    <row r="9" ht="21.75" customHeight="1">
      <c r="A9" s="9" t="s">
        <v>53</v>
      </c>
      <c r="B9" s="10">
        <f>'6º ao 9º EFAF'!C8</f>
        <v>35</v>
      </c>
      <c r="C9" s="10">
        <f>'6º ao 9º EFAF'!B8</f>
        <v>36</v>
      </c>
      <c r="D9" s="11">
        <f t="shared" si="3"/>
        <v>0.9722222222</v>
      </c>
      <c r="E9" s="12" t="s">
        <v>56</v>
      </c>
      <c r="F9" s="13">
        <f>IF(AND(ISNUMBER(B9), B9&gt;0, ISNUMBER('6º ao 9º EFAF'!G8)), ('6º ao 9º EFAF'!G8/(B9*3)), 0)</f>
        <v>0.6</v>
      </c>
      <c r="G9" s="12" t="s">
        <v>56</v>
      </c>
      <c r="H9" s="12" t="s">
        <v>56</v>
      </c>
      <c r="I9" s="12" t="s">
        <v>56</v>
      </c>
      <c r="J9" s="13">
        <f>IF(AND(ISNUMBER(B9), B9&gt;0, ISNUMBER('6º ao 9º EFAF'!I8)), ('6º ao 9º EFAF'!I8/(B9*3)), 0)</f>
        <v>0.3333333333</v>
      </c>
      <c r="K9" s="13">
        <f>IF(AND(ISNUMBER(B9), B9&gt;0, ISNUMBER('6º ao 9º EFAF'!H8)), ('6º ao 9º EFAF'!H8/(B9*3)), 0)</f>
        <v>0.4857142857</v>
      </c>
      <c r="L9" s="13">
        <f>IF(AND(ISNUMBER(B9), B9&gt;0, ISNUMBER('6º ao 9º EFAF'!F8)), ('6º ao 9º EFAF'!F8/(B9*3)), 0)</f>
        <v>0.6952380952</v>
      </c>
      <c r="M9" s="13">
        <f>IF(AND(ISNUMBER(B9), B9&gt;0, ISNUMBER('6º ao 9º EFAF'!D8)), ('6º ao 9º EFAF'!D8/(B9*4)), 0)</f>
        <v>0.55</v>
      </c>
      <c r="N9" s="13">
        <f>IF(AND(ISNUMBER(B9), B9&gt;0, ISNUMBER('6º ao 9º EFAF'!E8)), ('6º ao 9º EFAF'!E8/(B9*4)), 0)</f>
        <v>0.3857142857</v>
      </c>
      <c r="O9" s="12" t="s">
        <v>56</v>
      </c>
      <c r="P9" s="14">
        <f t="shared" si="4"/>
        <v>0.5083333333</v>
      </c>
    </row>
    <row r="10" ht="21.75" customHeight="1">
      <c r="A10" s="9" t="s">
        <v>54</v>
      </c>
      <c r="B10" s="10">
        <f>'6º ao 9º EFAF'!C9</f>
        <v>34</v>
      </c>
      <c r="C10" s="10">
        <f>'6º ao 9º EFAF'!B9</f>
        <v>36</v>
      </c>
      <c r="D10" s="11">
        <f t="shared" si="3"/>
        <v>0.9444444444</v>
      </c>
      <c r="E10" s="12" t="s">
        <v>56</v>
      </c>
      <c r="F10" s="13">
        <f>IF(AND(ISNUMBER(B10), B10&gt;0, ISNUMBER('6º ao 9º EFAF'!G9)), ('6º ao 9º EFAF'!G9/(B10*3)), 0)</f>
        <v>0.637254902</v>
      </c>
      <c r="G10" s="12" t="s">
        <v>56</v>
      </c>
      <c r="H10" s="12" t="s">
        <v>56</v>
      </c>
      <c r="I10" s="12" t="s">
        <v>56</v>
      </c>
      <c r="J10" s="13">
        <f>IF(AND(ISNUMBER(B10), B10&gt;0, ISNUMBER('6º ao 9º EFAF'!I9)), ('6º ao 9º EFAF'!I9/(B10*3)), 0)</f>
        <v>0.3921568627</v>
      </c>
      <c r="K10" s="13">
        <f>IF(AND(ISNUMBER(B10), B10&gt;0, ISNUMBER('6º ao 9º EFAF'!H9)), ('6º ao 9º EFAF'!H9/(B10*3)), 0)</f>
        <v>0.4901960784</v>
      </c>
      <c r="L10" s="13">
        <f>IF(AND(ISNUMBER(B10), B10&gt;0, ISNUMBER('6º ao 9º EFAF'!F9)), ('6º ao 9º EFAF'!F9/(B10*3)), 0)</f>
        <v>0.5392156863</v>
      </c>
      <c r="M10" s="13">
        <f>IF(AND(ISNUMBER(B10), B10&gt;0, ISNUMBER('6º ao 9º EFAF'!D9)), ('6º ao 9º EFAF'!D9/(B10*4)), 0)</f>
        <v>0.6617647059</v>
      </c>
      <c r="N10" s="13">
        <f>IF(AND(ISNUMBER(B10), B10&gt;0, ISNUMBER('6º ao 9º EFAF'!E9)), ('6º ao 9º EFAF'!E9/(B10*4)), 0)</f>
        <v>0.4044117647</v>
      </c>
      <c r="O10" s="12" t="s">
        <v>56</v>
      </c>
      <c r="P10" s="14">
        <f t="shared" si="4"/>
        <v>0.5208333333</v>
      </c>
    </row>
    <row r="11" ht="21.75" customHeight="1">
      <c r="A11" s="9" t="s">
        <v>55</v>
      </c>
      <c r="B11" s="10">
        <f>'6º ao 9º EFAF'!C10</f>
        <v>34</v>
      </c>
      <c r="C11" s="10">
        <f>'6º ao 9º EFAF'!B10</f>
        <v>37</v>
      </c>
      <c r="D11" s="11">
        <f t="shared" si="3"/>
        <v>0.9189189189</v>
      </c>
      <c r="E11" s="12" t="s">
        <v>56</v>
      </c>
      <c r="F11" s="13">
        <f>IF(AND(ISNUMBER(B11), B11&gt;0, ISNUMBER('6º ao 9º EFAF'!G10)), ('6º ao 9º EFAF'!G10/(B11*3)), 0)</f>
        <v>0.5882352941</v>
      </c>
      <c r="G11" s="12" t="s">
        <v>56</v>
      </c>
      <c r="H11" s="12" t="s">
        <v>56</v>
      </c>
      <c r="I11" s="12" t="s">
        <v>56</v>
      </c>
      <c r="J11" s="13">
        <f>IF(AND(ISNUMBER(B11), B11&gt;0, ISNUMBER('6º ao 9º EFAF'!I10)), ('6º ao 9º EFAF'!I10/(B11*3)), 0)</f>
        <v>0.3921568627</v>
      </c>
      <c r="K11" s="13">
        <f>IF(AND(ISNUMBER(B11), B11&gt;0, ISNUMBER('6º ao 9º EFAF'!H10)), ('6º ao 9º EFAF'!H10/(B11*3)), 0)</f>
        <v>0.3431372549</v>
      </c>
      <c r="L11" s="13">
        <f>IF(AND(ISNUMBER(B11), B11&gt;0, ISNUMBER('6º ao 9º EFAF'!F10)), ('6º ao 9º EFAF'!F10/(B11*3)), 0)</f>
        <v>0.637254902</v>
      </c>
      <c r="M11" s="13">
        <f>IF(AND(ISNUMBER(B11), B11&gt;0, ISNUMBER('6º ao 9º EFAF'!D10)), ('6º ao 9º EFAF'!D10/(B11*4)), 0)</f>
        <v>0.625</v>
      </c>
      <c r="N11" s="13">
        <f>IF(AND(ISNUMBER(B11), B11&gt;0, ISNUMBER('6º ao 9º EFAF'!E10)), ('6º ao 9º EFAF'!E10/(B11*4)), 0)</f>
        <v>0.3676470588</v>
      </c>
      <c r="O11" s="12" t="s">
        <v>56</v>
      </c>
      <c r="P11" s="14">
        <f t="shared" si="4"/>
        <v>0.4922385621</v>
      </c>
    </row>
    <row r="12" ht="21.75" customHeight="1">
      <c r="A12" s="9" t="s">
        <v>27</v>
      </c>
      <c r="B12" s="10">
        <f>'1ª e 2ª EM'!C2</f>
        <v>28</v>
      </c>
      <c r="C12" s="10">
        <f>'1ª e 2ª EM'!B2</f>
        <v>32</v>
      </c>
      <c r="D12" s="11">
        <f t="shared" si="3"/>
        <v>0.875</v>
      </c>
      <c r="E12" s="13">
        <f>IF(AND(ISNUMBER(B12), B12&gt;0, ISNUMBER('1ª e 2ª EM'!H2)), ('1ª e 2ª EM'!H2/(B12*2)), 0)</f>
        <v>0.2678571429</v>
      </c>
      <c r="F12" s="12" t="s">
        <v>56</v>
      </c>
      <c r="G12" s="13">
        <f>IF(AND(ISNUMBER(B12), B12&gt;0, ISNUMBER('1ª e 2ª EM'!K2)), ('1ª e 2ª EM'!K2/(B12*2)), 0)</f>
        <v>0.8928571429</v>
      </c>
      <c r="H12" s="12" t="s">
        <v>56</v>
      </c>
      <c r="I12" s="13">
        <f>IF(AND(ISNUMBER(B12), B12&gt;0, ISNUMBER('1ª e 2ª EM'!F2)), ('1ª e 2ª EM'!F2/(B12*2)), 0)</f>
        <v>0.2678571429</v>
      </c>
      <c r="J12" s="13">
        <f>IF(AND(ISNUMBER(B12), B12&gt;0, ISNUMBER('1ª e 2ª EM'!J2)), ('1ª e 2ª EM'!J2/(B12*2)), 0)</f>
        <v>0.3571428571</v>
      </c>
      <c r="K12" s="13">
        <f>IF(AND(ISNUMBER(B12), B12&gt;0, ISNUMBER('1ª e 2ª EM'!I2)), ('1ª e 2ª EM'!I2/(B12*2)), 0)</f>
        <v>0.4464285714</v>
      </c>
      <c r="L12" s="13">
        <f>IF(AND(ISNUMBER(B12), B12&gt;0, ISNUMBER('1ª e 2ª EM'!L2)), ('1ª e 2ª EM'!L2/(B12*2)), 0)</f>
        <v>0.3214285714</v>
      </c>
      <c r="M12" s="13">
        <f>IF(AND(ISNUMBER(B12), B12&gt;0, ISNUMBER('1ª e 2ª EM'!D2)), ('1ª e 2ª EM'!D2/(B12*4)), 0)</f>
        <v>0.5803571429</v>
      </c>
      <c r="N12" s="13">
        <f>IF(AND(ISNUMBER(B12), B12&gt;0, ISNUMBER('1ª e 2ª EM'!E2)), ('1ª e 2ª EM'!E2/(B12*4)), 0)</f>
        <v>0.3125</v>
      </c>
      <c r="O12" s="13">
        <f>IF(AND(ISNUMBER(B12), B12&gt;0, ISNUMBER('1ª e 2ª EM'!G2)), ('1ª e 2ª EM'!G2/(B12*2)), 0)</f>
        <v>0.2678571429</v>
      </c>
      <c r="P12" s="14">
        <f t="shared" si="4"/>
        <v>0.4126984127</v>
      </c>
    </row>
    <row r="13" ht="21.75" customHeight="1">
      <c r="A13" s="9" t="s">
        <v>45</v>
      </c>
      <c r="B13" s="10">
        <f>'1ª e 2ª EM'!C3</f>
        <v>30</v>
      </c>
      <c r="C13" s="10">
        <f>'1ª e 2ª EM'!B3</f>
        <v>31</v>
      </c>
      <c r="D13" s="11">
        <f t="shared" si="3"/>
        <v>0.9677419355</v>
      </c>
      <c r="E13" s="13">
        <f>IF(AND(ISNUMBER(B13), B13&gt;0, ISNUMBER('1ª e 2ª EM'!H3)), ('1ª e 2ª EM'!H3/(B13*2)), 0)</f>
        <v>0.3666666667</v>
      </c>
      <c r="F13" s="12" t="s">
        <v>56</v>
      </c>
      <c r="G13" s="13">
        <f>IF(AND(ISNUMBER(B13), B13&gt;0, ISNUMBER('1ª e 2ª EM'!K3)), ('1ª e 2ª EM'!K3/(B13*2)), 0)</f>
        <v>0.8666666667</v>
      </c>
      <c r="H13" s="12" t="s">
        <v>56</v>
      </c>
      <c r="I13" s="13">
        <f>IF(AND(ISNUMBER(B13), B13&gt;0, ISNUMBER('1ª e 2ª EM'!F3)), ('1ª e 2ª EM'!F3/(B13*2)), 0)</f>
        <v>0.2333333333</v>
      </c>
      <c r="J13" s="13">
        <f>IF(AND(ISNUMBER(B13), B13&gt;0, ISNUMBER('1ª e 2ª EM'!J3)), ('1ª e 2ª EM'!J3/(B13*2)), 0)</f>
        <v>0.35</v>
      </c>
      <c r="K13" s="13">
        <f>IF(AND(ISNUMBER(B13), B13&gt;0, ISNUMBER('1ª e 2ª EM'!I3)), ('1ª e 2ª EM'!I3/(B13*2)), 0)</f>
        <v>0.4166666667</v>
      </c>
      <c r="L13" s="13">
        <f>IF(AND(ISNUMBER(B13), B13&gt;0, ISNUMBER('1ª e 2ª EM'!L3)), ('1ª e 2ª EM'!L3/(B13*2)), 0)</f>
        <v>0.4166666667</v>
      </c>
      <c r="M13" s="13">
        <f>IF(AND(ISNUMBER(B13), B13&gt;0, ISNUMBER('1ª e 2ª EM'!D3)), ('1ª e 2ª EM'!D3/(B13*4)), 0)</f>
        <v>0.625</v>
      </c>
      <c r="N13" s="13">
        <f>IF(AND(ISNUMBER(B13), B13&gt;0, ISNUMBER('1ª e 2ª EM'!E3)), ('1ª e 2ª EM'!E3/(B13*4)), 0)</f>
        <v>0.25</v>
      </c>
      <c r="O13" s="13">
        <f>IF(AND(ISNUMBER(B13), B13&gt;0, ISNUMBER('1ª e 2ª EM'!G3)), ('1ª e 2ª EM'!G3/(B13*2)), 0)</f>
        <v>0.3333333333</v>
      </c>
      <c r="P13" s="14">
        <f t="shared" si="4"/>
        <v>0.4287037037</v>
      </c>
    </row>
    <row r="14" ht="21.75" customHeight="1">
      <c r="A14" s="9" t="s">
        <v>49</v>
      </c>
      <c r="B14" s="10">
        <f>'1ª e 2ª EM'!C4</f>
        <v>19</v>
      </c>
      <c r="C14" s="10">
        <f>'1ª e 2ª EM'!B4</f>
        <v>20</v>
      </c>
      <c r="D14" s="11">
        <f t="shared" si="3"/>
        <v>0.95</v>
      </c>
      <c r="E14" s="13">
        <f>IF(AND(ISNUMBER(B14), B14&gt;0, ISNUMBER('1ª e 2ª EM'!H4)), ('1ª e 2ª EM'!H4/(B14*2)), 0)</f>
        <v>0.8947368421</v>
      </c>
      <c r="F14" s="12" t="s">
        <v>56</v>
      </c>
      <c r="G14" s="12" t="s">
        <v>56</v>
      </c>
      <c r="H14" s="13">
        <f>IF(AND(ISNUMBER(B14), B14&gt;0, ISNUMBER('1ª e 2ª EM'!K4)), ('1ª e 2ª EM'!K4/(B14*2)), 0)</f>
        <v>0.8421052632</v>
      </c>
      <c r="I14" s="13">
        <f>IF(AND(ISNUMBER(B14), B14&gt;0, ISNUMBER('1ª e 2ª EM'!F4)), ('1ª e 2ª EM'!F4/(B14*2)), 0)</f>
        <v>0.9210526316</v>
      </c>
      <c r="J14" s="13">
        <f>IF(AND(ISNUMBER(B14), B14&gt;0, ISNUMBER('1ª e 2ª EM'!J4)), ('1ª e 2ª EM'!J4/(B14*2)), 0)</f>
        <v>0.8947368421</v>
      </c>
      <c r="K14" s="13">
        <f>IF(AND(ISNUMBER(B14), B14&gt;0, ISNUMBER('1ª e 2ª EM'!I4)), ('1ª e 2ª EM'!I4/(B14*2)), 0)</f>
        <v>0.9210526316</v>
      </c>
      <c r="L14" s="13">
        <f>IF(AND(ISNUMBER(B14), B14&gt;0, ISNUMBER('1ª e 2ª EM'!L4)), ('1ª e 2ª EM'!L4/(B14*2)), 0)</f>
        <v>0.8947368421</v>
      </c>
      <c r="M14" s="13">
        <f>IF(AND(ISNUMBER(B14), B14&gt;0, ISNUMBER('1ª e 2ª EM'!D4)), ('1ª e 2ª EM'!D4/(B14*4)), 0)</f>
        <v>0.9473684211</v>
      </c>
      <c r="N14" s="13">
        <f>IF(AND(ISNUMBER(B14), B14&gt;0, ISNUMBER('1ª e 2ª EM'!E4)), ('1ª e 2ª EM'!E4/(B14*4)), 0)</f>
        <v>0.9210526316</v>
      </c>
      <c r="O14" s="13">
        <f>IF(AND(ISNUMBER(B14), B14&gt;0, ISNUMBER('1ª e 2ª EM'!G4)), ('1ª e 2ª EM'!G4/(B14*2)), 0)</f>
        <v>0.8684210526</v>
      </c>
      <c r="P14" s="14">
        <f t="shared" si="4"/>
        <v>0.9005847953</v>
      </c>
    </row>
    <row r="15" ht="21.75" customHeight="1">
      <c r="A15" s="9" t="s">
        <v>51</v>
      </c>
      <c r="B15" s="10">
        <f>'1ª e 2ª EM'!C5</f>
        <v>21</v>
      </c>
      <c r="C15" s="10">
        <f>'1ª e 2ª EM'!B5</f>
        <v>22</v>
      </c>
      <c r="D15" s="11">
        <f t="shared" si="3"/>
        <v>0.9545454545</v>
      </c>
      <c r="E15" s="13">
        <f>IF(AND(ISNUMBER(B15), B15&gt;0, ISNUMBER('1ª e 2ª EM'!H5)), ('1ª e 2ª EM'!H5/(B15*2)), 0)</f>
        <v>0.5952380952</v>
      </c>
      <c r="F15" s="12" t="s">
        <v>56</v>
      </c>
      <c r="G15" s="12" t="s">
        <v>56</v>
      </c>
      <c r="H15" s="13">
        <f>IF(AND(ISNUMBER(B15), B15&gt;0, ISNUMBER('1ª e 2ª EM'!K5)), ('1ª e 2ª EM'!K5/(B15*2)), 0)</f>
        <v>0.4761904762</v>
      </c>
      <c r="I15" s="13">
        <f>IF(AND(ISNUMBER(B15), B15&gt;0, ISNUMBER('1ª e 2ª EM'!F5)), ('1ª e 2ª EM'!F5/(B15*2)), 0)</f>
        <v>0.2380952381</v>
      </c>
      <c r="J15" s="13">
        <f>IF(AND(ISNUMBER(B15), B15&gt;0, ISNUMBER('1ª e 2ª EM'!J5)), ('1ª e 2ª EM'!J5/(B15*2)), 0)</f>
        <v>0.3571428571</v>
      </c>
      <c r="K15" s="13">
        <f>IF(AND(ISNUMBER(B15), B15&gt;0, ISNUMBER('1ª e 2ª EM'!I5)), ('1ª e 2ª EM'!I5/(B15*2)), 0)</f>
        <v>0.619047619</v>
      </c>
      <c r="L15" s="13">
        <f>IF(AND(ISNUMBER(B15), B15&gt;0, ISNUMBER('1ª e 2ª EM'!L5)), ('1ª e 2ª EM'!L5/(B15*2)), 0)</f>
        <v>0.2857142857</v>
      </c>
      <c r="M15" s="13">
        <f>IF(AND(ISNUMBER(B15), B15&gt;0, ISNUMBER('1ª e 2ª EM'!D5)), ('1ª e 2ª EM'!D5/(B15*4)), 0)</f>
        <v>0.5952380952</v>
      </c>
      <c r="N15" s="13">
        <f>IF(AND(ISNUMBER(B15), B15&gt;0, ISNUMBER('1ª e 2ª EM'!E5)), ('1ª e 2ª EM'!E5/(B15*4)), 0)</f>
        <v>0.2976190476</v>
      </c>
      <c r="O15" s="13">
        <f>IF(AND(ISNUMBER(B15), B15&gt;0, ISNUMBER('1ª e 2ª EM'!G5)), ('1ª e 2ª EM'!G5/(B15*2)), 0)</f>
        <v>0.619047619</v>
      </c>
      <c r="P15" s="14">
        <f t="shared" si="4"/>
        <v>0.4537037037</v>
      </c>
    </row>
    <row r="16" ht="21.75" customHeight="1">
      <c r="A16" s="9" t="s">
        <v>25</v>
      </c>
      <c r="B16" s="10">
        <f>'3ª EM'!C2</f>
        <v>8</v>
      </c>
      <c r="C16" s="10">
        <f>'3ª EM'!B2</f>
        <v>9</v>
      </c>
      <c r="D16" s="11">
        <f t="shared" si="3"/>
        <v>0.8888888889</v>
      </c>
      <c r="E16" s="12" t="s">
        <v>56</v>
      </c>
      <c r="F16" s="12" t="s">
        <v>56</v>
      </c>
      <c r="G16" s="12" t="s">
        <v>56</v>
      </c>
      <c r="H16" s="12" t="s">
        <v>56</v>
      </c>
      <c r="I16" s="13">
        <f>IF(AND(ISNUMBER(B16), B16&gt;0, ISNUMBER('3ª EM'!F2)), ('3ª EM'!F2/(B16*4)), 0)</f>
        <v>0.15625</v>
      </c>
      <c r="J16" s="12" t="s">
        <v>56</v>
      </c>
      <c r="K16" s="13">
        <f>IF(AND(ISNUMBER(B16), B16&gt;0, ISNUMBER('3ª EM'!G2)), ('3ª EM'!G2/(B16*4)), 0)</f>
        <v>1</v>
      </c>
      <c r="L16" s="13">
        <f>IF(AND(ISNUMBER(B16), B16&gt;0, ISNUMBER('3ª EM'!H2)), ('3ª EM'!H2/(B16*4)), 0)</f>
        <v>0.78125</v>
      </c>
      <c r="M16" s="13">
        <f>IF(AND(ISNUMBER(B16), B16&gt;0, ISNUMBER('3ª EM'!D2)), ('3ª EM'!D2/(B16*5)), 0)</f>
        <v>0.75</v>
      </c>
      <c r="N16" s="13">
        <f>IF(AND(ISNUMBER(B16), B16&gt;0, ISNUMBER('3ª EM'!E2)), ('3ª EM'!E2/(B16*5)), 0)</f>
        <v>0.525</v>
      </c>
      <c r="O16" s="12" t="s">
        <v>56</v>
      </c>
      <c r="P16" s="14">
        <f t="shared" si="4"/>
        <v>0.6425</v>
      </c>
    </row>
    <row r="17" ht="21.75" customHeight="1">
      <c r="A17" s="9" t="s">
        <v>46</v>
      </c>
      <c r="B17" s="10">
        <f>'3ª EM'!C3</f>
        <v>22</v>
      </c>
      <c r="C17" s="10">
        <f>'3ª EM'!B3</f>
        <v>22</v>
      </c>
      <c r="D17" s="11">
        <f t="shared" si="3"/>
        <v>1</v>
      </c>
      <c r="E17" s="12" t="s">
        <v>56</v>
      </c>
      <c r="F17" s="12" t="s">
        <v>56</v>
      </c>
      <c r="G17" s="12" t="s">
        <v>56</v>
      </c>
      <c r="H17" s="12" t="s">
        <v>56</v>
      </c>
      <c r="I17" s="13">
        <f>IF(AND(ISNUMBER(B17), B17&gt;0, ISNUMBER('3ª EM'!F3)), ('3ª EM'!F3/(B17*4)), 0)</f>
        <v>0.1363636364</v>
      </c>
      <c r="J17" s="12" t="s">
        <v>56</v>
      </c>
      <c r="K17" s="13">
        <f>IF(AND(ISNUMBER(B17), B17&gt;0, ISNUMBER('3ª EM'!G3)), ('3ª EM'!G3/(B17*4)), 0)</f>
        <v>0.6022727273</v>
      </c>
      <c r="L17" s="13">
        <f>IF(AND(ISNUMBER(B17), B17&gt;0, ISNUMBER('3ª EM'!H3)), ('3ª EM'!H3/(B17*4)), 0)</f>
        <v>0.3636363636</v>
      </c>
      <c r="M17" s="13">
        <f>IF(AND(ISNUMBER(B17), B17&gt;0, ISNUMBER('3ª EM'!D3)), ('3ª EM'!D3/(B17*5)), 0)</f>
        <v>0.5909090909</v>
      </c>
      <c r="N17" s="13">
        <f>IF(AND(ISNUMBER(B17), B17&gt;0, ISNUMBER('3ª EM'!E3)), ('3ª EM'!E3/(B17*5)), 0)</f>
        <v>0.2727272727</v>
      </c>
      <c r="O17" s="12" t="s">
        <v>56</v>
      </c>
      <c r="P17" s="14">
        <f t="shared" si="4"/>
        <v>0.3931818182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3:P17">
    <cfRule type="cellIs" dxfId="0" priority="1" stopIfTrue="1" operator="between">
      <formula>0.50001</formula>
      <formula>1</formula>
    </cfRule>
  </conditionalFormatting>
  <conditionalFormatting sqref="E3:P17">
    <cfRule type="cellIs" dxfId="1" priority="2" stopIfTrue="1" operator="between">
      <formula>0.3</formula>
      <formula>0.5</formula>
    </cfRule>
  </conditionalFormatting>
  <conditionalFormatting sqref="E3:P17">
    <cfRule type="cellIs" dxfId="2" priority="3" stopIfTrue="1" operator="between">
      <formula>0.00001</formula>
      <formula>0.29999</formula>
    </cfRule>
  </conditionalFormatting>
  <printOptions/>
  <pageMargins bottom="1.0" footer="0.0" header="0.0" left="0.75" right="0.75" top="1.0"/>
  <pageSetup orientation="landscape"/>
  <drawing r:id="rId1"/>
</worksheet>
</file>